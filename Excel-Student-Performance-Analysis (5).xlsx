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6"/>
  <workbookPr defaultThemeVersion="166925"/>
  <xr:revisionPtr revIDLastSave="0" documentId="8_{9918A8CB-42BE-4260-8F91-EDBCC631BB74}" xr6:coauthVersionLast="47" xr6:coauthVersionMax="47" xr10:uidLastSave="{00000000-0000-0000-0000-000000000000}"/>
  <bookViews>
    <workbookView xWindow="240" yWindow="105" windowWidth="14805" windowHeight="8010" firstSheet="11" activeTab="11" xr2:uid="{00000000-000D-0000-FFFF-FFFF00000000}"/>
  </bookViews>
  <sheets>
    <sheet name="Raw Data" sheetId="1" r:id="rId1"/>
    <sheet name="Calculations" sheetId="3" r:id="rId2"/>
    <sheet name="Result" sheetId="4" r:id="rId3"/>
    <sheet name="Grade" sheetId="5" r:id="rId4"/>
    <sheet name="Conditional Formatting" sheetId="6" r:id="rId5"/>
    <sheet name="Sorting " sheetId="7" r:id="rId6"/>
    <sheet name="Filtering" sheetId="8" r:id="rId7"/>
    <sheet name="Sort and Filter formula " sheetId="9" r:id="rId8"/>
    <sheet name="Data Validation " sheetId="10" r:id="rId9"/>
    <sheet name="Raw_data2" sheetId="12" r:id="rId10"/>
    <sheet name="Flash-Fill" sheetId="14" r:id="rId11"/>
    <sheet name="Remove_Dupllicates" sheetId="13" r:id="rId12"/>
  </sheets>
  <definedNames>
    <definedName name="_xlnm._FilterDatabase" localSheetId="6" hidden="1">Filtering!$A$1:$N$101</definedName>
    <definedName name="_xlnm._FilterDatabase" localSheetId="11" hidden="1">Remove_Dupllicates!$A$2:$E$101</definedName>
    <definedName name="_xlnm._FilterDatabase" localSheetId="10" hidden="1">'Flash-Fill'!$A$2:$K$101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2" i="10" l="1" a="1"/>
  <c r="S2" i="10"/>
  <c r="N101" i="10" a="1"/>
  <c r="N101" i="10" s="1"/>
  <c r="M101" i="10"/>
  <c r="L101" i="10"/>
  <c r="J101" i="10"/>
  <c r="K101" i="10" s="1"/>
  <c r="N100" i="10" a="1"/>
  <c r="N100" i="10" s="1"/>
  <c r="M100" i="10"/>
  <c r="L100" i="10"/>
  <c r="J100" i="10"/>
  <c r="K100" i="10" s="1"/>
  <c r="N99" i="10" a="1"/>
  <c r="N99" i="10" s="1"/>
  <c r="M99" i="10"/>
  <c r="L99" i="10"/>
  <c r="J99" i="10"/>
  <c r="K99" i="10" s="1"/>
  <c r="N98" i="10" a="1"/>
  <c r="N98" i="10" s="1"/>
  <c r="M98" i="10"/>
  <c r="L98" i="10"/>
  <c r="J98" i="10"/>
  <c r="K98" i="10" s="1"/>
  <c r="N97" i="10" a="1"/>
  <c r="N97" i="10" s="1"/>
  <c r="M97" i="10"/>
  <c r="L97" i="10"/>
  <c r="J97" i="10"/>
  <c r="K97" i="10" s="1"/>
  <c r="N96" i="10" a="1"/>
  <c r="N96" i="10" s="1"/>
  <c r="M96" i="10"/>
  <c r="L96" i="10"/>
  <c r="J96" i="10"/>
  <c r="K96" i="10" s="1"/>
  <c r="N95" i="10" a="1"/>
  <c r="N95" i="10" s="1"/>
  <c r="M95" i="10"/>
  <c r="L95" i="10"/>
  <c r="J95" i="10"/>
  <c r="K95" i="10" s="1"/>
  <c r="N94" i="10" a="1"/>
  <c r="N94" i="10" s="1"/>
  <c r="M94" i="10"/>
  <c r="L94" i="10"/>
  <c r="J94" i="10"/>
  <c r="K94" i="10" s="1"/>
  <c r="N93" i="10" a="1"/>
  <c r="N93" i="10" s="1"/>
  <c r="M93" i="10"/>
  <c r="L93" i="10"/>
  <c r="J93" i="10"/>
  <c r="K93" i="10" s="1"/>
  <c r="N92" i="10" a="1"/>
  <c r="N92" i="10" s="1"/>
  <c r="M92" i="10"/>
  <c r="L92" i="10"/>
  <c r="J92" i="10"/>
  <c r="K92" i="10" s="1"/>
  <c r="N91" i="10" a="1"/>
  <c r="N91" i="10" s="1"/>
  <c r="M91" i="10"/>
  <c r="L91" i="10"/>
  <c r="J91" i="10"/>
  <c r="K91" i="10" s="1"/>
  <c r="N90" i="10" a="1"/>
  <c r="N90" i="10" s="1"/>
  <c r="M90" i="10"/>
  <c r="L90" i="10"/>
  <c r="J90" i="10"/>
  <c r="K90" i="10" s="1"/>
  <c r="N89" i="10" a="1"/>
  <c r="N89" i="10" s="1"/>
  <c r="M89" i="10"/>
  <c r="L89" i="10"/>
  <c r="J89" i="10"/>
  <c r="K89" i="10" s="1"/>
  <c r="N88" i="10" a="1"/>
  <c r="N88" i="10" s="1"/>
  <c r="M88" i="10"/>
  <c r="L88" i="10"/>
  <c r="J88" i="10"/>
  <c r="K88" i="10" s="1"/>
  <c r="N87" i="10" a="1"/>
  <c r="N87" i="10" s="1"/>
  <c r="M87" i="10"/>
  <c r="L87" i="10"/>
  <c r="J87" i="10"/>
  <c r="K87" i="10" s="1"/>
  <c r="N86" i="10" a="1"/>
  <c r="N86" i="10" s="1"/>
  <c r="M86" i="10"/>
  <c r="L86" i="10"/>
  <c r="J86" i="10"/>
  <c r="K86" i="10" s="1"/>
  <c r="N85" i="10" a="1"/>
  <c r="N85" i="10" s="1"/>
  <c r="M85" i="10"/>
  <c r="L85" i="10"/>
  <c r="J85" i="10"/>
  <c r="K85" i="10" s="1"/>
  <c r="N84" i="10" a="1"/>
  <c r="N84" i="10" s="1"/>
  <c r="M84" i="10"/>
  <c r="L84" i="10"/>
  <c r="J84" i="10"/>
  <c r="K84" i="10" s="1"/>
  <c r="N83" i="10" a="1"/>
  <c r="N83" i="10" s="1"/>
  <c r="M83" i="10"/>
  <c r="L83" i="10"/>
  <c r="J83" i="10"/>
  <c r="K83" i="10" s="1"/>
  <c r="N82" i="10" a="1"/>
  <c r="N82" i="10" s="1"/>
  <c r="M82" i="10"/>
  <c r="L82" i="10"/>
  <c r="J82" i="10"/>
  <c r="K82" i="10" s="1"/>
  <c r="N81" i="10" a="1"/>
  <c r="N81" i="10" s="1"/>
  <c r="M81" i="10"/>
  <c r="L81" i="10"/>
  <c r="J81" i="10"/>
  <c r="K81" i="10" s="1"/>
  <c r="N80" i="10" a="1"/>
  <c r="N80" i="10" s="1"/>
  <c r="M80" i="10"/>
  <c r="L80" i="10"/>
  <c r="J80" i="10"/>
  <c r="K80" i="10" s="1"/>
  <c r="N79" i="10" a="1"/>
  <c r="N79" i="10" s="1"/>
  <c r="M79" i="10"/>
  <c r="L79" i="10"/>
  <c r="J79" i="10"/>
  <c r="K79" i="10" s="1"/>
  <c r="N78" i="10" a="1"/>
  <c r="N78" i="10" s="1"/>
  <c r="M78" i="10"/>
  <c r="L78" i="10"/>
  <c r="J78" i="10"/>
  <c r="K78" i="10" s="1"/>
  <c r="N77" i="10" a="1"/>
  <c r="N77" i="10" s="1"/>
  <c r="M77" i="10"/>
  <c r="L77" i="10"/>
  <c r="J77" i="10"/>
  <c r="K77" i="10" s="1"/>
  <c r="N76" i="10" a="1"/>
  <c r="N76" i="10" s="1"/>
  <c r="M76" i="10"/>
  <c r="L76" i="10"/>
  <c r="J76" i="10"/>
  <c r="K76" i="10" s="1"/>
  <c r="N75" i="10" a="1"/>
  <c r="N75" i="10" s="1"/>
  <c r="M75" i="10"/>
  <c r="L75" i="10"/>
  <c r="J75" i="10"/>
  <c r="K75" i="10" s="1"/>
  <c r="N74" i="10" a="1"/>
  <c r="N74" i="10" s="1"/>
  <c r="M74" i="10"/>
  <c r="L74" i="10"/>
  <c r="J74" i="10"/>
  <c r="K74" i="10" s="1"/>
  <c r="N73" i="10" a="1"/>
  <c r="N73" i="10" s="1"/>
  <c r="M73" i="10"/>
  <c r="L73" i="10"/>
  <c r="J73" i="10"/>
  <c r="K73" i="10" s="1"/>
  <c r="N72" i="10" a="1"/>
  <c r="N72" i="10" s="1"/>
  <c r="M72" i="10"/>
  <c r="L72" i="10"/>
  <c r="J72" i="10"/>
  <c r="K72" i="10" s="1"/>
  <c r="N71" i="10" a="1"/>
  <c r="N71" i="10" s="1"/>
  <c r="M71" i="10"/>
  <c r="L71" i="10"/>
  <c r="J71" i="10"/>
  <c r="K71" i="10" s="1"/>
  <c r="N70" i="10" a="1"/>
  <c r="N70" i="10" s="1"/>
  <c r="M70" i="10"/>
  <c r="L70" i="10"/>
  <c r="J70" i="10"/>
  <c r="K70" i="10" s="1"/>
  <c r="N69" i="10" a="1"/>
  <c r="N69" i="10" s="1"/>
  <c r="M69" i="10"/>
  <c r="L69" i="10"/>
  <c r="J69" i="10"/>
  <c r="K69" i="10" s="1"/>
  <c r="N68" i="10" a="1"/>
  <c r="N68" i="10" s="1"/>
  <c r="M68" i="10"/>
  <c r="L68" i="10"/>
  <c r="J68" i="10"/>
  <c r="K68" i="10" s="1"/>
  <c r="N67" i="10" a="1"/>
  <c r="N67" i="10" s="1"/>
  <c r="M67" i="10"/>
  <c r="L67" i="10"/>
  <c r="J67" i="10"/>
  <c r="K67" i="10" s="1"/>
  <c r="N66" i="10" a="1"/>
  <c r="N66" i="10" s="1"/>
  <c r="M66" i="10"/>
  <c r="L66" i="10"/>
  <c r="J66" i="10"/>
  <c r="K66" i="10" s="1"/>
  <c r="N65" i="10" a="1"/>
  <c r="N65" i="10" s="1"/>
  <c r="M65" i="10"/>
  <c r="L65" i="10"/>
  <c r="J65" i="10"/>
  <c r="K65" i="10" s="1"/>
  <c r="N64" i="10" a="1"/>
  <c r="N64" i="10" s="1"/>
  <c r="M64" i="10"/>
  <c r="L64" i="10"/>
  <c r="J64" i="10"/>
  <c r="K64" i="10" s="1"/>
  <c r="N63" i="10" a="1"/>
  <c r="N63" i="10" s="1"/>
  <c r="M63" i="10"/>
  <c r="L63" i="10"/>
  <c r="J63" i="10"/>
  <c r="K63" i="10" s="1"/>
  <c r="N62" i="10" a="1"/>
  <c r="N62" i="10" s="1"/>
  <c r="M62" i="10"/>
  <c r="L62" i="10"/>
  <c r="J62" i="10"/>
  <c r="K62" i="10" s="1"/>
  <c r="N61" i="10" a="1"/>
  <c r="N61" i="10" s="1"/>
  <c r="M61" i="10"/>
  <c r="L61" i="10"/>
  <c r="J61" i="10"/>
  <c r="K61" i="10" s="1"/>
  <c r="N60" i="10" a="1"/>
  <c r="N60" i="10" s="1"/>
  <c r="M60" i="10"/>
  <c r="L60" i="10"/>
  <c r="J60" i="10"/>
  <c r="K60" i="10" s="1"/>
  <c r="N59" i="10" a="1"/>
  <c r="N59" i="10" s="1"/>
  <c r="M59" i="10"/>
  <c r="L59" i="10"/>
  <c r="J59" i="10"/>
  <c r="K59" i="10" s="1"/>
  <c r="N58" i="10" a="1"/>
  <c r="N58" i="10" s="1"/>
  <c r="M58" i="10"/>
  <c r="L58" i="10"/>
  <c r="J58" i="10"/>
  <c r="K58" i="10" s="1"/>
  <c r="N57" i="10" a="1"/>
  <c r="N57" i="10" s="1"/>
  <c r="M57" i="10"/>
  <c r="L57" i="10"/>
  <c r="J57" i="10"/>
  <c r="K57" i="10" s="1"/>
  <c r="N56" i="10" a="1"/>
  <c r="N56" i="10" s="1"/>
  <c r="M56" i="10"/>
  <c r="L56" i="10"/>
  <c r="J56" i="10"/>
  <c r="K56" i="10" s="1"/>
  <c r="N55" i="10" a="1"/>
  <c r="N55" i="10" s="1"/>
  <c r="M55" i="10"/>
  <c r="L55" i="10"/>
  <c r="J55" i="10"/>
  <c r="K55" i="10" s="1"/>
  <c r="N54" i="10" a="1"/>
  <c r="N54" i="10" s="1"/>
  <c r="M54" i="10"/>
  <c r="L54" i="10"/>
  <c r="J54" i="10"/>
  <c r="K54" i="10" s="1"/>
  <c r="N53" i="10" a="1"/>
  <c r="N53" i="10" s="1"/>
  <c r="M53" i="10"/>
  <c r="L53" i="10"/>
  <c r="J53" i="10"/>
  <c r="K53" i="10" s="1"/>
  <c r="N52" i="10" a="1"/>
  <c r="N52" i="10" s="1"/>
  <c r="M52" i="10"/>
  <c r="L52" i="10"/>
  <c r="J52" i="10"/>
  <c r="K52" i="10" s="1"/>
  <c r="N51" i="10" a="1"/>
  <c r="N51" i="10" s="1"/>
  <c r="M51" i="10"/>
  <c r="L51" i="10"/>
  <c r="J51" i="10"/>
  <c r="K51" i="10" s="1"/>
  <c r="N50" i="10" a="1"/>
  <c r="N50" i="10" s="1"/>
  <c r="M50" i="10"/>
  <c r="L50" i="10"/>
  <c r="J50" i="10"/>
  <c r="K50" i="10" s="1"/>
  <c r="N49" i="10" a="1"/>
  <c r="N49" i="10" s="1"/>
  <c r="M49" i="10"/>
  <c r="L49" i="10"/>
  <c r="J49" i="10"/>
  <c r="K49" i="10" s="1"/>
  <c r="N48" i="10" a="1"/>
  <c r="N48" i="10" s="1"/>
  <c r="M48" i="10"/>
  <c r="L48" i="10"/>
  <c r="J48" i="10"/>
  <c r="K48" i="10" s="1"/>
  <c r="N47" i="10" a="1"/>
  <c r="N47" i="10" s="1"/>
  <c r="M47" i="10"/>
  <c r="L47" i="10"/>
  <c r="J47" i="10"/>
  <c r="K47" i="10" s="1"/>
  <c r="N46" i="10" a="1"/>
  <c r="N46" i="10" s="1"/>
  <c r="M46" i="10"/>
  <c r="L46" i="10"/>
  <c r="J46" i="10"/>
  <c r="K46" i="10" s="1"/>
  <c r="N45" i="10" a="1"/>
  <c r="N45" i="10" s="1"/>
  <c r="M45" i="10"/>
  <c r="L45" i="10"/>
  <c r="J45" i="10"/>
  <c r="K45" i="10" s="1"/>
  <c r="N44" i="10" a="1"/>
  <c r="N44" i="10" s="1"/>
  <c r="M44" i="10"/>
  <c r="L44" i="10"/>
  <c r="J44" i="10"/>
  <c r="K44" i="10" s="1"/>
  <c r="N43" i="10" a="1"/>
  <c r="N43" i="10" s="1"/>
  <c r="M43" i="10"/>
  <c r="L43" i="10"/>
  <c r="J43" i="10"/>
  <c r="K43" i="10" s="1"/>
  <c r="N42" i="10" a="1"/>
  <c r="N42" i="10" s="1"/>
  <c r="M42" i="10"/>
  <c r="L42" i="10"/>
  <c r="J42" i="10"/>
  <c r="K42" i="10" s="1"/>
  <c r="N41" i="10" a="1"/>
  <c r="N41" i="10" s="1"/>
  <c r="M41" i="10"/>
  <c r="L41" i="10"/>
  <c r="J41" i="10"/>
  <c r="K41" i="10" s="1"/>
  <c r="N40" i="10" a="1"/>
  <c r="N40" i="10" s="1"/>
  <c r="M40" i="10"/>
  <c r="L40" i="10"/>
  <c r="J40" i="10"/>
  <c r="K40" i="10" s="1"/>
  <c r="N39" i="10" a="1"/>
  <c r="N39" i="10" s="1"/>
  <c r="M39" i="10"/>
  <c r="L39" i="10"/>
  <c r="J39" i="10"/>
  <c r="K39" i="10" s="1"/>
  <c r="N38" i="10" a="1"/>
  <c r="N38" i="10" s="1"/>
  <c r="M38" i="10"/>
  <c r="L38" i="10"/>
  <c r="J38" i="10"/>
  <c r="K38" i="10" s="1"/>
  <c r="N37" i="10" a="1"/>
  <c r="N37" i="10" s="1"/>
  <c r="M37" i="10"/>
  <c r="L37" i="10"/>
  <c r="J37" i="10"/>
  <c r="K37" i="10" s="1"/>
  <c r="N36" i="10" a="1"/>
  <c r="N36" i="10" s="1"/>
  <c r="M36" i="10"/>
  <c r="L36" i="10"/>
  <c r="J36" i="10"/>
  <c r="K36" i="10" s="1"/>
  <c r="N35" i="10" a="1"/>
  <c r="N35" i="10" s="1"/>
  <c r="M35" i="10"/>
  <c r="L35" i="10"/>
  <c r="J35" i="10"/>
  <c r="K35" i="10" s="1"/>
  <c r="N34" i="10" a="1"/>
  <c r="N34" i="10" s="1"/>
  <c r="M34" i="10"/>
  <c r="L34" i="10"/>
  <c r="J34" i="10"/>
  <c r="K34" i="10" s="1"/>
  <c r="N33" i="10" a="1"/>
  <c r="N33" i="10" s="1"/>
  <c r="M33" i="10"/>
  <c r="L33" i="10"/>
  <c r="J33" i="10"/>
  <c r="K33" i="10" s="1"/>
  <c r="N32" i="10" a="1"/>
  <c r="N32" i="10" s="1"/>
  <c r="M32" i="10"/>
  <c r="L32" i="10"/>
  <c r="J32" i="10"/>
  <c r="K32" i="10" s="1"/>
  <c r="N31" i="10" a="1"/>
  <c r="N31" i="10" s="1"/>
  <c r="M31" i="10"/>
  <c r="L31" i="10"/>
  <c r="J31" i="10"/>
  <c r="K31" i="10" s="1"/>
  <c r="N30" i="10" a="1"/>
  <c r="N30" i="10" s="1"/>
  <c r="M30" i="10"/>
  <c r="L30" i="10"/>
  <c r="J30" i="10"/>
  <c r="K30" i="10" s="1"/>
  <c r="N29" i="10" a="1"/>
  <c r="N29" i="10" s="1"/>
  <c r="M29" i="10"/>
  <c r="L29" i="10"/>
  <c r="J29" i="10"/>
  <c r="K29" i="10" s="1"/>
  <c r="N28" i="10" a="1"/>
  <c r="N28" i="10" s="1"/>
  <c r="M28" i="10"/>
  <c r="L28" i="10"/>
  <c r="J28" i="10"/>
  <c r="K28" i="10" s="1"/>
  <c r="N27" i="10" a="1"/>
  <c r="N27" i="10" s="1"/>
  <c r="M27" i="10"/>
  <c r="L27" i="10"/>
  <c r="J27" i="10"/>
  <c r="K27" i="10" s="1"/>
  <c r="N26" i="10" a="1"/>
  <c r="N26" i="10" s="1"/>
  <c r="M26" i="10"/>
  <c r="L26" i="10"/>
  <c r="J26" i="10"/>
  <c r="K26" i="10" s="1"/>
  <c r="N25" i="10" a="1"/>
  <c r="N25" i="10" s="1"/>
  <c r="M25" i="10"/>
  <c r="L25" i="10"/>
  <c r="J25" i="10"/>
  <c r="K25" i="10" s="1"/>
  <c r="N24" i="10" a="1"/>
  <c r="N24" i="10" s="1"/>
  <c r="M24" i="10"/>
  <c r="L24" i="10"/>
  <c r="J24" i="10"/>
  <c r="K24" i="10" s="1"/>
  <c r="N23" i="10" a="1"/>
  <c r="N23" i="10" s="1"/>
  <c r="M23" i="10"/>
  <c r="L23" i="10"/>
  <c r="J23" i="10"/>
  <c r="K23" i="10" s="1"/>
  <c r="N22" i="10" a="1"/>
  <c r="N22" i="10" s="1"/>
  <c r="M22" i="10"/>
  <c r="L22" i="10"/>
  <c r="J22" i="10"/>
  <c r="K22" i="10" s="1"/>
  <c r="N21" i="10" a="1"/>
  <c r="N21" i="10" s="1"/>
  <c r="M21" i="10"/>
  <c r="L21" i="10"/>
  <c r="J21" i="10"/>
  <c r="K21" i="10" s="1"/>
  <c r="N20" i="10" a="1"/>
  <c r="N20" i="10" s="1"/>
  <c r="M20" i="10"/>
  <c r="L20" i="10"/>
  <c r="J20" i="10"/>
  <c r="K20" i="10" s="1"/>
  <c r="N19" i="10" a="1"/>
  <c r="N19" i="10" s="1"/>
  <c r="M19" i="10"/>
  <c r="L19" i="10"/>
  <c r="J19" i="10"/>
  <c r="K19" i="10" s="1"/>
  <c r="N18" i="10" a="1"/>
  <c r="N18" i="10" s="1"/>
  <c r="M18" i="10"/>
  <c r="L18" i="10"/>
  <c r="J18" i="10"/>
  <c r="K18" i="10" s="1"/>
  <c r="N17" i="10" a="1"/>
  <c r="N17" i="10" s="1"/>
  <c r="M17" i="10"/>
  <c r="L17" i="10"/>
  <c r="J17" i="10"/>
  <c r="K17" i="10" s="1"/>
  <c r="N16" i="10" a="1"/>
  <c r="N16" i="10" s="1"/>
  <c r="M16" i="10"/>
  <c r="L16" i="10"/>
  <c r="J16" i="10"/>
  <c r="K16" i="10" s="1"/>
  <c r="N15" i="10" a="1"/>
  <c r="N15" i="10" s="1"/>
  <c r="M15" i="10"/>
  <c r="L15" i="10"/>
  <c r="J15" i="10"/>
  <c r="K15" i="10" s="1"/>
  <c r="N14" i="10" a="1"/>
  <c r="N14" i="10" s="1"/>
  <c r="M14" i="10"/>
  <c r="L14" i="10"/>
  <c r="J14" i="10"/>
  <c r="K14" i="10" s="1"/>
  <c r="N13" i="10" a="1"/>
  <c r="N13" i="10" s="1"/>
  <c r="M13" i="10"/>
  <c r="L13" i="10"/>
  <c r="J13" i="10"/>
  <c r="K13" i="10" s="1"/>
  <c r="N12" i="10" a="1"/>
  <c r="N12" i="10" s="1"/>
  <c r="M12" i="10"/>
  <c r="L12" i="10"/>
  <c r="J12" i="10"/>
  <c r="K12" i="10" s="1"/>
  <c r="N11" i="10" a="1"/>
  <c r="N11" i="10" s="1"/>
  <c r="M11" i="10"/>
  <c r="L11" i="10"/>
  <c r="J11" i="10"/>
  <c r="K11" i="10" s="1"/>
  <c r="N10" i="10" a="1"/>
  <c r="N10" i="10" s="1"/>
  <c r="M10" i="10"/>
  <c r="L10" i="10"/>
  <c r="J10" i="10"/>
  <c r="K10" i="10" s="1"/>
  <c r="N9" i="10" a="1"/>
  <c r="N9" i="10" s="1"/>
  <c r="M9" i="10"/>
  <c r="L9" i="10"/>
  <c r="J9" i="10"/>
  <c r="K9" i="10" s="1"/>
  <c r="N8" i="10" a="1"/>
  <c r="N8" i="10" s="1"/>
  <c r="M8" i="10"/>
  <c r="L8" i="10"/>
  <c r="J8" i="10"/>
  <c r="K8" i="10" s="1"/>
  <c r="N7" i="10" a="1"/>
  <c r="N7" i="10" s="1"/>
  <c r="M7" i="10"/>
  <c r="L7" i="10"/>
  <c r="J7" i="10"/>
  <c r="K7" i="10" s="1"/>
  <c r="N6" i="10" a="1"/>
  <c r="N6" i="10" s="1"/>
  <c r="M6" i="10"/>
  <c r="L6" i="10"/>
  <c r="J6" i="10"/>
  <c r="K6" i="10" s="1"/>
  <c r="N5" i="10" a="1"/>
  <c r="N5" i="10" s="1"/>
  <c r="M5" i="10"/>
  <c r="L5" i="10"/>
  <c r="J5" i="10"/>
  <c r="K5" i="10" s="1"/>
  <c r="N4" i="10" a="1"/>
  <c r="N4" i="10" s="1"/>
  <c r="M4" i="10"/>
  <c r="L4" i="10"/>
  <c r="J4" i="10"/>
  <c r="K4" i="10" s="1"/>
  <c r="N3" i="10" a="1"/>
  <c r="N3" i="10" s="1"/>
  <c r="M3" i="10"/>
  <c r="L3" i="10"/>
  <c r="J3" i="10"/>
  <c r="K3" i="10" s="1"/>
  <c r="N2" i="10" a="1"/>
  <c r="N2" i="10" s="1"/>
  <c r="M2" i="10"/>
  <c r="L2" i="10"/>
  <c r="J2" i="10"/>
  <c r="K2" i="10" s="1"/>
  <c r="P2" i="9" a="1"/>
  <c r="P2" i="9"/>
  <c r="N101" i="9" a="1"/>
  <c r="N101" i="9" s="1"/>
  <c r="M101" i="9"/>
  <c r="L101" i="9"/>
  <c r="J101" i="9"/>
  <c r="K101" i="9" s="1"/>
  <c r="N100" i="9" a="1"/>
  <c r="N100" i="9" s="1"/>
  <c r="M100" i="9"/>
  <c r="L100" i="9"/>
  <c r="J100" i="9"/>
  <c r="K100" i="9" s="1"/>
  <c r="N99" i="9" a="1"/>
  <c r="N99" i="9" s="1"/>
  <c r="M99" i="9"/>
  <c r="L99" i="9"/>
  <c r="J99" i="9"/>
  <c r="K99" i="9" s="1"/>
  <c r="N98" i="9" a="1"/>
  <c r="N98" i="9" s="1"/>
  <c r="M98" i="9"/>
  <c r="L98" i="9"/>
  <c r="J98" i="9"/>
  <c r="K98" i="9" s="1"/>
  <c r="N97" i="9" a="1"/>
  <c r="N97" i="9" s="1"/>
  <c r="M97" i="9"/>
  <c r="L97" i="9"/>
  <c r="J97" i="9"/>
  <c r="K97" i="9" s="1"/>
  <c r="N96" i="9" a="1"/>
  <c r="N96" i="9" s="1"/>
  <c r="M96" i="9"/>
  <c r="L96" i="9"/>
  <c r="J96" i="9"/>
  <c r="K96" i="9" s="1"/>
  <c r="N95" i="9" a="1"/>
  <c r="N95" i="9" s="1"/>
  <c r="M95" i="9"/>
  <c r="L95" i="9"/>
  <c r="J95" i="9"/>
  <c r="K95" i="9" s="1"/>
  <c r="N94" i="9" a="1"/>
  <c r="N94" i="9" s="1"/>
  <c r="M94" i="9"/>
  <c r="L94" i="9"/>
  <c r="J94" i="9"/>
  <c r="K94" i="9" s="1"/>
  <c r="N93" i="9" a="1"/>
  <c r="N93" i="9" s="1"/>
  <c r="M93" i="9"/>
  <c r="L93" i="9"/>
  <c r="J93" i="9"/>
  <c r="K93" i="9" s="1"/>
  <c r="N92" i="9" a="1"/>
  <c r="N92" i="9" s="1"/>
  <c r="M92" i="9"/>
  <c r="L92" i="9"/>
  <c r="J92" i="9"/>
  <c r="K92" i="9" s="1"/>
  <c r="N91" i="9" a="1"/>
  <c r="N91" i="9" s="1"/>
  <c r="M91" i="9"/>
  <c r="L91" i="9"/>
  <c r="J91" i="9"/>
  <c r="K91" i="9" s="1"/>
  <c r="N90" i="9" a="1"/>
  <c r="N90" i="9" s="1"/>
  <c r="M90" i="9"/>
  <c r="L90" i="9"/>
  <c r="J90" i="9"/>
  <c r="K90" i="9" s="1"/>
  <c r="N89" i="9" a="1"/>
  <c r="N89" i="9" s="1"/>
  <c r="M89" i="9"/>
  <c r="L89" i="9"/>
  <c r="J89" i="9"/>
  <c r="K89" i="9" s="1"/>
  <c r="N88" i="9" a="1"/>
  <c r="N88" i="9" s="1"/>
  <c r="M88" i="9"/>
  <c r="L88" i="9"/>
  <c r="J88" i="9"/>
  <c r="K88" i="9" s="1"/>
  <c r="N87" i="9" a="1"/>
  <c r="N87" i="9" s="1"/>
  <c r="M87" i="9"/>
  <c r="L87" i="9"/>
  <c r="J87" i="9"/>
  <c r="K87" i="9" s="1"/>
  <c r="N86" i="9" a="1"/>
  <c r="N86" i="9" s="1"/>
  <c r="M86" i="9"/>
  <c r="L86" i="9"/>
  <c r="J86" i="9"/>
  <c r="K86" i="9" s="1"/>
  <c r="N85" i="9" a="1"/>
  <c r="N85" i="9" s="1"/>
  <c r="M85" i="9"/>
  <c r="L85" i="9"/>
  <c r="J85" i="9"/>
  <c r="K85" i="9" s="1"/>
  <c r="N84" i="9" a="1"/>
  <c r="N84" i="9" s="1"/>
  <c r="M84" i="9"/>
  <c r="L84" i="9"/>
  <c r="J84" i="9"/>
  <c r="K84" i="9" s="1"/>
  <c r="N83" i="9" a="1"/>
  <c r="N83" i="9" s="1"/>
  <c r="M83" i="9"/>
  <c r="L83" i="9"/>
  <c r="J83" i="9"/>
  <c r="K83" i="9" s="1"/>
  <c r="N82" i="9" a="1"/>
  <c r="N82" i="9" s="1"/>
  <c r="M82" i="9"/>
  <c r="L82" i="9"/>
  <c r="J82" i="9"/>
  <c r="K82" i="9" s="1"/>
  <c r="N81" i="9" a="1"/>
  <c r="N81" i="9" s="1"/>
  <c r="M81" i="9"/>
  <c r="L81" i="9"/>
  <c r="J81" i="9"/>
  <c r="K81" i="9" s="1"/>
  <c r="N80" i="9" a="1"/>
  <c r="N80" i="9" s="1"/>
  <c r="M80" i="9"/>
  <c r="L80" i="9"/>
  <c r="J80" i="9"/>
  <c r="K80" i="9" s="1"/>
  <c r="N79" i="9" a="1"/>
  <c r="N79" i="9" s="1"/>
  <c r="M79" i="9"/>
  <c r="L79" i="9"/>
  <c r="J79" i="9"/>
  <c r="K79" i="9" s="1"/>
  <c r="N78" i="9" a="1"/>
  <c r="N78" i="9" s="1"/>
  <c r="M78" i="9"/>
  <c r="L78" i="9"/>
  <c r="J78" i="9"/>
  <c r="K78" i="9" s="1"/>
  <c r="N77" i="9" a="1"/>
  <c r="N77" i="9" s="1"/>
  <c r="M77" i="9"/>
  <c r="L77" i="9"/>
  <c r="J77" i="9"/>
  <c r="K77" i="9" s="1"/>
  <c r="N76" i="9" a="1"/>
  <c r="N76" i="9" s="1"/>
  <c r="M76" i="9"/>
  <c r="L76" i="9"/>
  <c r="J76" i="9"/>
  <c r="K76" i="9" s="1"/>
  <c r="N75" i="9" a="1"/>
  <c r="N75" i="9" s="1"/>
  <c r="M75" i="9"/>
  <c r="L75" i="9"/>
  <c r="J75" i="9"/>
  <c r="K75" i="9" s="1"/>
  <c r="N74" i="9" a="1"/>
  <c r="N74" i="9" s="1"/>
  <c r="M74" i="9"/>
  <c r="L74" i="9"/>
  <c r="J74" i="9"/>
  <c r="K74" i="9" s="1"/>
  <c r="N73" i="9" a="1"/>
  <c r="N73" i="9" s="1"/>
  <c r="M73" i="9"/>
  <c r="L73" i="9"/>
  <c r="J73" i="9"/>
  <c r="K73" i="9" s="1"/>
  <c r="N72" i="9" a="1"/>
  <c r="N72" i="9" s="1"/>
  <c r="M72" i="9"/>
  <c r="L72" i="9"/>
  <c r="J72" i="9"/>
  <c r="K72" i="9" s="1"/>
  <c r="N71" i="9" a="1"/>
  <c r="N71" i="9" s="1"/>
  <c r="M71" i="9"/>
  <c r="L71" i="9"/>
  <c r="J71" i="9"/>
  <c r="K71" i="9" s="1"/>
  <c r="N70" i="9" a="1"/>
  <c r="N70" i="9" s="1"/>
  <c r="M70" i="9"/>
  <c r="L70" i="9"/>
  <c r="J70" i="9"/>
  <c r="K70" i="9" s="1"/>
  <c r="N69" i="9" a="1"/>
  <c r="N69" i="9" s="1"/>
  <c r="M69" i="9"/>
  <c r="L69" i="9"/>
  <c r="J69" i="9"/>
  <c r="K69" i="9" s="1"/>
  <c r="N68" i="9" a="1"/>
  <c r="N68" i="9" s="1"/>
  <c r="M68" i="9"/>
  <c r="L68" i="9"/>
  <c r="J68" i="9"/>
  <c r="K68" i="9" s="1"/>
  <c r="N67" i="9" a="1"/>
  <c r="N67" i="9" s="1"/>
  <c r="M67" i="9"/>
  <c r="L67" i="9"/>
  <c r="J67" i="9"/>
  <c r="K67" i="9" s="1"/>
  <c r="N66" i="9" a="1"/>
  <c r="N66" i="9" s="1"/>
  <c r="M66" i="9"/>
  <c r="L66" i="9"/>
  <c r="J66" i="9"/>
  <c r="K66" i="9" s="1"/>
  <c r="N65" i="9" a="1"/>
  <c r="N65" i="9" s="1"/>
  <c r="M65" i="9"/>
  <c r="L65" i="9"/>
  <c r="J65" i="9"/>
  <c r="K65" i="9" s="1"/>
  <c r="N64" i="9" a="1"/>
  <c r="N64" i="9" s="1"/>
  <c r="M64" i="9"/>
  <c r="L64" i="9"/>
  <c r="J64" i="9"/>
  <c r="K64" i="9" s="1"/>
  <c r="N63" i="9" a="1"/>
  <c r="N63" i="9" s="1"/>
  <c r="M63" i="9"/>
  <c r="L63" i="9"/>
  <c r="J63" i="9"/>
  <c r="K63" i="9" s="1"/>
  <c r="N62" i="9" a="1"/>
  <c r="N62" i="9" s="1"/>
  <c r="M62" i="9"/>
  <c r="L62" i="9"/>
  <c r="J62" i="9"/>
  <c r="K62" i="9" s="1"/>
  <c r="N61" i="9" a="1"/>
  <c r="N61" i="9" s="1"/>
  <c r="M61" i="9"/>
  <c r="L61" i="9"/>
  <c r="J61" i="9"/>
  <c r="K61" i="9" s="1"/>
  <c r="N60" i="9" a="1"/>
  <c r="N60" i="9" s="1"/>
  <c r="M60" i="9"/>
  <c r="L60" i="9"/>
  <c r="J60" i="9"/>
  <c r="K60" i="9" s="1"/>
  <c r="N59" i="9" a="1"/>
  <c r="N59" i="9" s="1"/>
  <c r="M59" i="9"/>
  <c r="L59" i="9"/>
  <c r="J59" i="9"/>
  <c r="K59" i="9" s="1"/>
  <c r="N58" i="9" a="1"/>
  <c r="N58" i="9" s="1"/>
  <c r="M58" i="9"/>
  <c r="L58" i="9"/>
  <c r="J58" i="9"/>
  <c r="K58" i="9" s="1"/>
  <c r="N57" i="9" a="1"/>
  <c r="N57" i="9" s="1"/>
  <c r="M57" i="9"/>
  <c r="L57" i="9"/>
  <c r="J57" i="9"/>
  <c r="K57" i="9" s="1"/>
  <c r="N56" i="9" a="1"/>
  <c r="N56" i="9" s="1"/>
  <c r="M56" i="9"/>
  <c r="L56" i="9"/>
  <c r="J56" i="9"/>
  <c r="K56" i="9" s="1"/>
  <c r="N55" i="9" a="1"/>
  <c r="N55" i="9" s="1"/>
  <c r="M55" i="9"/>
  <c r="L55" i="9"/>
  <c r="J55" i="9"/>
  <c r="K55" i="9" s="1"/>
  <c r="N54" i="9" a="1"/>
  <c r="N54" i="9" s="1"/>
  <c r="M54" i="9"/>
  <c r="L54" i="9"/>
  <c r="J54" i="9"/>
  <c r="K54" i="9" s="1"/>
  <c r="N53" i="9" a="1"/>
  <c r="N53" i="9" s="1"/>
  <c r="M53" i="9"/>
  <c r="L53" i="9"/>
  <c r="J53" i="9"/>
  <c r="K53" i="9" s="1"/>
  <c r="N52" i="9" a="1"/>
  <c r="N52" i="9" s="1"/>
  <c r="M52" i="9"/>
  <c r="L52" i="9"/>
  <c r="J52" i="9"/>
  <c r="K52" i="9" s="1"/>
  <c r="N51" i="9" a="1"/>
  <c r="N51" i="9" s="1"/>
  <c r="M51" i="9"/>
  <c r="L51" i="9"/>
  <c r="J51" i="9"/>
  <c r="K51" i="9" s="1"/>
  <c r="N50" i="9" a="1"/>
  <c r="N50" i="9" s="1"/>
  <c r="M50" i="9"/>
  <c r="L50" i="9"/>
  <c r="J50" i="9"/>
  <c r="K50" i="9" s="1"/>
  <c r="N49" i="9" a="1"/>
  <c r="N49" i="9" s="1"/>
  <c r="M49" i="9"/>
  <c r="L49" i="9"/>
  <c r="J49" i="9"/>
  <c r="K49" i="9" s="1"/>
  <c r="N48" i="9" a="1"/>
  <c r="N48" i="9" s="1"/>
  <c r="M48" i="9"/>
  <c r="L48" i="9"/>
  <c r="J48" i="9"/>
  <c r="K48" i="9" s="1"/>
  <c r="N47" i="9" a="1"/>
  <c r="N47" i="9" s="1"/>
  <c r="M47" i="9"/>
  <c r="L47" i="9"/>
  <c r="J47" i="9"/>
  <c r="K47" i="9" s="1"/>
  <c r="N46" i="9" a="1"/>
  <c r="N46" i="9" s="1"/>
  <c r="M46" i="9"/>
  <c r="L46" i="9"/>
  <c r="J46" i="9"/>
  <c r="K46" i="9" s="1"/>
  <c r="N45" i="9" a="1"/>
  <c r="N45" i="9" s="1"/>
  <c r="M45" i="9"/>
  <c r="L45" i="9"/>
  <c r="J45" i="9"/>
  <c r="K45" i="9" s="1"/>
  <c r="N44" i="9" a="1"/>
  <c r="N44" i="9" s="1"/>
  <c r="M44" i="9"/>
  <c r="L44" i="9"/>
  <c r="J44" i="9"/>
  <c r="K44" i="9" s="1"/>
  <c r="N43" i="9" a="1"/>
  <c r="N43" i="9" s="1"/>
  <c r="M43" i="9"/>
  <c r="L43" i="9"/>
  <c r="J43" i="9"/>
  <c r="K43" i="9" s="1"/>
  <c r="N42" i="9" a="1"/>
  <c r="N42" i="9" s="1"/>
  <c r="M42" i="9"/>
  <c r="L42" i="9"/>
  <c r="J42" i="9"/>
  <c r="K42" i="9" s="1"/>
  <c r="N41" i="9" a="1"/>
  <c r="N41" i="9" s="1"/>
  <c r="M41" i="9"/>
  <c r="L41" i="9"/>
  <c r="J41" i="9"/>
  <c r="K41" i="9" s="1"/>
  <c r="N40" i="9" a="1"/>
  <c r="N40" i="9" s="1"/>
  <c r="M40" i="9"/>
  <c r="L40" i="9"/>
  <c r="J40" i="9"/>
  <c r="K40" i="9" s="1"/>
  <c r="N39" i="9" a="1"/>
  <c r="N39" i="9" s="1"/>
  <c r="M39" i="9"/>
  <c r="L39" i="9"/>
  <c r="J39" i="9"/>
  <c r="K39" i="9" s="1"/>
  <c r="N38" i="9" a="1"/>
  <c r="N38" i="9" s="1"/>
  <c r="M38" i="9"/>
  <c r="L38" i="9"/>
  <c r="J38" i="9"/>
  <c r="K38" i="9" s="1"/>
  <c r="N37" i="9" a="1"/>
  <c r="N37" i="9" s="1"/>
  <c r="M37" i="9"/>
  <c r="L37" i="9"/>
  <c r="J37" i="9"/>
  <c r="K37" i="9" s="1"/>
  <c r="N36" i="9" a="1"/>
  <c r="N36" i="9" s="1"/>
  <c r="M36" i="9"/>
  <c r="L36" i="9"/>
  <c r="J36" i="9"/>
  <c r="K36" i="9" s="1"/>
  <c r="N35" i="9" a="1"/>
  <c r="N35" i="9" s="1"/>
  <c r="M35" i="9"/>
  <c r="L35" i="9"/>
  <c r="J35" i="9"/>
  <c r="K35" i="9" s="1"/>
  <c r="N34" i="9" a="1"/>
  <c r="N34" i="9" s="1"/>
  <c r="M34" i="9"/>
  <c r="L34" i="9"/>
  <c r="J34" i="9"/>
  <c r="K34" i="9" s="1"/>
  <c r="N33" i="9" a="1"/>
  <c r="N33" i="9" s="1"/>
  <c r="M33" i="9"/>
  <c r="L33" i="9"/>
  <c r="J33" i="9"/>
  <c r="K33" i="9" s="1"/>
  <c r="N32" i="9" a="1"/>
  <c r="N32" i="9" s="1"/>
  <c r="M32" i="9"/>
  <c r="L32" i="9"/>
  <c r="J32" i="9"/>
  <c r="K32" i="9" s="1"/>
  <c r="N31" i="9" a="1"/>
  <c r="N31" i="9" s="1"/>
  <c r="M31" i="9"/>
  <c r="L31" i="9"/>
  <c r="J31" i="9"/>
  <c r="K31" i="9" s="1"/>
  <c r="N30" i="9" a="1"/>
  <c r="N30" i="9" s="1"/>
  <c r="M30" i="9"/>
  <c r="L30" i="9"/>
  <c r="J30" i="9"/>
  <c r="K30" i="9" s="1"/>
  <c r="N29" i="9" a="1"/>
  <c r="N29" i="9" s="1"/>
  <c r="M29" i="9"/>
  <c r="L29" i="9"/>
  <c r="J29" i="9"/>
  <c r="K29" i="9" s="1"/>
  <c r="N28" i="9" a="1"/>
  <c r="N28" i="9" s="1"/>
  <c r="M28" i="9"/>
  <c r="L28" i="9"/>
  <c r="J28" i="9"/>
  <c r="K28" i="9" s="1"/>
  <c r="N27" i="9" a="1"/>
  <c r="N27" i="9" s="1"/>
  <c r="M27" i="9"/>
  <c r="L27" i="9"/>
  <c r="J27" i="9"/>
  <c r="K27" i="9" s="1"/>
  <c r="N26" i="9" a="1"/>
  <c r="N26" i="9" s="1"/>
  <c r="M26" i="9"/>
  <c r="L26" i="9"/>
  <c r="J26" i="9"/>
  <c r="K26" i="9" s="1"/>
  <c r="N25" i="9" a="1"/>
  <c r="N25" i="9" s="1"/>
  <c r="M25" i="9"/>
  <c r="L25" i="9"/>
  <c r="J25" i="9"/>
  <c r="K25" i="9" s="1"/>
  <c r="N24" i="9" a="1"/>
  <c r="N24" i="9" s="1"/>
  <c r="M24" i="9"/>
  <c r="L24" i="9"/>
  <c r="J24" i="9"/>
  <c r="K24" i="9" s="1"/>
  <c r="N23" i="9" a="1"/>
  <c r="N23" i="9" s="1"/>
  <c r="M23" i="9"/>
  <c r="L23" i="9"/>
  <c r="J23" i="9"/>
  <c r="K23" i="9" s="1"/>
  <c r="N22" i="9" a="1"/>
  <c r="N22" i="9" s="1"/>
  <c r="M22" i="9"/>
  <c r="L22" i="9"/>
  <c r="J22" i="9"/>
  <c r="K22" i="9" s="1"/>
  <c r="N21" i="9" a="1"/>
  <c r="N21" i="9" s="1"/>
  <c r="M21" i="9"/>
  <c r="L21" i="9"/>
  <c r="J21" i="9"/>
  <c r="K21" i="9" s="1"/>
  <c r="N20" i="9" a="1"/>
  <c r="N20" i="9" s="1"/>
  <c r="M20" i="9"/>
  <c r="L20" i="9"/>
  <c r="J20" i="9"/>
  <c r="K20" i="9" s="1"/>
  <c r="N19" i="9" a="1"/>
  <c r="N19" i="9" s="1"/>
  <c r="M19" i="9"/>
  <c r="L19" i="9"/>
  <c r="J19" i="9"/>
  <c r="K19" i="9" s="1"/>
  <c r="N18" i="9" a="1"/>
  <c r="N18" i="9" s="1"/>
  <c r="M18" i="9"/>
  <c r="L18" i="9"/>
  <c r="J18" i="9"/>
  <c r="K18" i="9" s="1"/>
  <c r="N17" i="9" a="1"/>
  <c r="N17" i="9" s="1"/>
  <c r="M17" i="9"/>
  <c r="L17" i="9"/>
  <c r="J17" i="9"/>
  <c r="K17" i="9" s="1"/>
  <c r="N16" i="9" a="1"/>
  <c r="N16" i="9" s="1"/>
  <c r="M16" i="9"/>
  <c r="L16" i="9"/>
  <c r="J16" i="9"/>
  <c r="K16" i="9" s="1"/>
  <c r="N15" i="9" a="1"/>
  <c r="N15" i="9" s="1"/>
  <c r="M15" i="9"/>
  <c r="L15" i="9"/>
  <c r="J15" i="9"/>
  <c r="K15" i="9" s="1"/>
  <c r="N14" i="9" a="1"/>
  <c r="N14" i="9" s="1"/>
  <c r="M14" i="9"/>
  <c r="L14" i="9"/>
  <c r="J14" i="9"/>
  <c r="K14" i="9" s="1"/>
  <c r="N13" i="9" a="1"/>
  <c r="N13" i="9" s="1"/>
  <c r="M13" i="9"/>
  <c r="L13" i="9"/>
  <c r="J13" i="9"/>
  <c r="K13" i="9" s="1"/>
  <c r="N12" i="9" a="1"/>
  <c r="N12" i="9" s="1"/>
  <c r="M12" i="9"/>
  <c r="L12" i="9"/>
  <c r="J12" i="9"/>
  <c r="K12" i="9" s="1"/>
  <c r="N11" i="9" a="1"/>
  <c r="N11" i="9" s="1"/>
  <c r="M11" i="9"/>
  <c r="L11" i="9"/>
  <c r="J11" i="9"/>
  <c r="K11" i="9" s="1"/>
  <c r="N10" i="9" a="1"/>
  <c r="N10" i="9" s="1"/>
  <c r="M10" i="9"/>
  <c r="L10" i="9"/>
  <c r="J10" i="9"/>
  <c r="K10" i="9" s="1"/>
  <c r="N9" i="9" a="1"/>
  <c r="N9" i="9" s="1"/>
  <c r="M9" i="9"/>
  <c r="L9" i="9"/>
  <c r="J9" i="9"/>
  <c r="K9" i="9" s="1"/>
  <c r="N8" i="9" a="1"/>
  <c r="N8" i="9" s="1"/>
  <c r="M8" i="9"/>
  <c r="L8" i="9"/>
  <c r="J8" i="9"/>
  <c r="K8" i="9" s="1"/>
  <c r="N7" i="9" a="1"/>
  <c r="N7" i="9" s="1"/>
  <c r="M7" i="9"/>
  <c r="L7" i="9"/>
  <c r="J7" i="9"/>
  <c r="K7" i="9" s="1"/>
  <c r="N6" i="9" a="1"/>
  <c r="N6" i="9" s="1"/>
  <c r="M6" i="9"/>
  <c r="L6" i="9"/>
  <c r="J6" i="9"/>
  <c r="K6" i="9" s="1"/>
  <c r="N5" i="9" a="1"/>
  <c r="N5" i="9" s="1"/>
  <c r="M5" i="9"/>
  <c r="L5" i="9"/>
  <c r="J5" i="9"/>
  <c r="K5" i="9" s="1"/>
  <c r="N4" i="9" a="1"/>
  <c r="N4" i="9" s="1"/>
  <c r="M4" i="9"/>
  <c r="L4" i="9"/>
  <c r="J4" i="9"/>
  <c r="K4" i="9" s="1"/>
  <c r="N3" i="9" a="1"/>
  <c r="N3" i="9" s="1"/>
  <c r="M3" i="9"/>
  <c r="L3" i="9"/>
  <c r="J3" i="9"/>
  <c r="K3" i="9" s="1"/>
  <c r="N2" i="9" a="1"/>
  <c r="N2" i="9" s="1"/>
  <c r="M2" i="9"/>
  <c r="L2" i="9"/>
  <c r="J2" i="9"/>
  <c r="K2" i="9" s="1"/>
  <c r="N101" i="8" a="1"/>
  <c r="N101" i="8" s="1"/>
  <c r="M101" i="8"/>
  <c r="L101" i="8"/>
  <c r="J101" i="8"/>
  <c r="K101" i="8" s="1"/>
  <c r="N100" i="8" a="1"/>
  <c r="N100" i="8" s="1"/>
  <c r="M100" i="8"/>
  <c r="L100" i="8"/>
  <c r="J100" i="8"/>
  <c r="K100" i="8" s="1"/>
  <c r="N99" i="8" a="1"/>
  <c r="N99" i="8" s="1"/>
  <c r="M99" i="8"/>
  <c r="L99" i="8"/>
  <c r="J99" i="8"/>
  <c r="K99" i="8" s="1"/>
  <c r="N98" i="8" a="1"/>
  <c r="N98" i="8" s="1"/>
  <c r="M98" i="8"/>
  <c r="L98" i="8"/>
  <c r="J98" i="8"/>
  <c r="K98" i="8" s="1"/>
  <c r="N97" i="8" a="1"/>
  <c r="N97" i="8" s="1"/>
  <c r="M97" i="8"/>
  <c r="L97" i="8"/>
  <c r="J97" i="8"/>
  <c r="K97" i="8" s="1"/>
  <c r="N96" i="8" a="1"/>
  <c r="N96" i="8" s="1"/>
  <c r="M96" i="8"/>
  <c r="L96" i="8"/>
  <c r="J96" i="8"/>
  <c r="K96" i="8" s="1"/>
  <c r="N95" i="8" a="1"/>
  <c r="N95" i="8" s="1"/>
  <c r="M95" i="8"/>
  <c r="L95" i="8"/>
  <c r="J95" i="8"/>
  <c r="K95" i="8" s="1"/>
  <c r="N94" i="8" a="1"/>
  <c r="N94" i="8" s="1"/>
  <c r="M94" i="8"/>
  <c r="L94" i="8"/>
  <c r="J94" i="8"/>
  <c r="K94" i="8" s="1"/>
  <c r="N93" i="8" a="1"/>
  <c r="N93" i="8" s="1"/>
  <c r="M93" i="8"/>
  <c r="L93" i="8"/>
  <c r="J93" i="8"/>
  <c r="K93" i="8" s="1"/>
  <c r="N92" i="8" a="1"/>
  <c r="N92" i="8" s="1"/>
  <c r="M92" i="8"/>
  <c r="L92" i="8"/>
  <c r="J92" i="8"/>
  <c r="K92" i="8" s="1"/>
  <c r="N91" i="8" a="1"/>
  <c r="N91" i="8" s="1"/>
  <c r="M91" i="8"/>
  <c r="L91" i="8"/>
  <c r="J91" i="8"/>
  <c r="K91" i="8" s="1"/>
  <c r="N90" i="8" a="1"/>
  <c r="N90" i="8" s="1"/>
  <c r="M90" i="8"/>
  <c r="L90" i="8"/>
  <c r="J90" i="8"/>
  <c r="K90" i="8" s="1"/>
  <c r="N89" i="8" a="1"/>
  <c r="N89" i="8" s="1"/>
  <c r="M89" i="8"/>
  <c r="L89" i="8"/>
  <c r="J89" i="8"/>
  <c r="K89" i="8" s="1"/>
  <c r="N88" i="8" a="1"/>
  <c r="N88" i="8" s="1"/>
  <c r="M88" i="8"/>
  <c r="L88" i="8"/>
  <c r="J88" i="8"/>
  <c r="K88" i="8" s="1"/>
  <c r="N87" i="8" a="1"/>
  <c r="N87" i="8" s="1"/>
  <c r="M87" i="8"/>
  <c r="L87" i="8"/>
  <c r="J87" i="8"/>
  <c r="K87" i="8" s="1"/>
  <c r="N86" i="8" a="1"/>
  <c r="N86" i="8" s="1"/>
  <c r="M86" i="8"/>
  <c r="L86" i="8"/>
  <c r="J86" i="8"/>
  <c r="K86" i="8" s="1"/>
  <c r="N85" i="8" a="1"/>
  <c r="N85" i="8" s="1"/>
  <c r="M85" i="8"/>
  <c r="L85" i="8"/>
  <c r="J85" i="8"/>
  <c r="K85" i="8" s="1"/>
  <c r="N84" i="8" a="1"/>
  <c r="N84" i="8" s="1"/>
  <c r="M84" i="8"/>
  <c r="L84" i="8"/>
  <c r="J84" i="8"/>
  <c r="K84" i="8" s="1"/>
  <c r="N83" i="8" a="1"/>
  <c r="N83" i="8" s="1"/>
  <c r="M83" i="8"/>
  <c r="L83" i="8"/>
  <c r="J83" i="8"/>
  <c r="K83" i="8" s="1"/>
  <c r="N82" i="8" a="1"/>
  <c r="N82" i="8" s="1"/>
  <c r="M82" i="8"/>
  <c r="L82" i="8"/>
  <c r="J82" i="8"/>
  <c r="K82" i="8" s="1"/>
  <c r="N81" i="8" a="1"/>
  <c r="N81" i="8" s="1"/>
  <c r="M81" i="8"/>
  <c r="L81" i="8"/>
  <c r="J81" i="8"/>
  <c r="K81" i="8" s="1"/>
  <c r="N80" i="8" a="1"/>
  <c r="N80" i="8" s="1"/>
  <c r="M80" i="8"/>
  <c r="L80" i="8"/>
  <c r="J80" i="8"/>
  <c r="K80" i="8" s="1"/>
  <c r="N79" i="8" a="1"/>
  <c r="N79" i="8" s="1"/>
  <c r="M79" i="8"/>
  <c r="L79" i="8"/>
  <c r="J79" i="8"/>
  <c r="K79" i="8" s="1"/>
  <c r="N78" i="8" a="1"/>
  <c r="N78" i="8" s="1"/>
  <c r="M78" i="8"/>
  <c r="L78" i="8"/>
  <c r="J78" i="8"/>
  <c r="K78" i="8" s="1"/>
  <c r="N77" i="8" a="1"/>
  <c r="N77" i="8" s="1"/>
  <c r="M77" i="8"/>
  <c r="L77" i="8"/>
  <c r="J77" i="8"/>
  <c r="K77" i="8" s="1"/>
  <c r="N76" i="8" a="1"/>
  <c r="N76" i="8" s="1"/>
  <c r="M76" i="8"/>
  <c r="L76" i="8"/>
  <c r="J76" i="8"/>
  <c r="K76" i="8" s="1"/>
  <c r="N75" i="8" a="1"/>
  <c r="N75" i="8" s="1"/>
  <c r="M75" i="8"/>
  <c r="L75" i="8"/>
  <c r="J75" i="8"/>
  <c r="K75" i="8" s="1"/>
  <c r="N74" i="8" a="1"/>
  <c r="N74" i="8" s="1"/>
  <c r="M74" i="8"/>
  <c r="L74" i="8"/>
  <c r="J74" i="8"/>
  <c r="K74" i="8" s="1"/>
  <c r="N73" i="8" a="1"/>
  <c r="N73" i="8" s="1"/>
  <c r="M73" i="8"/>
  <c r="L73" i="8"/>
  <c r="J73" i="8"/>
  <c r="K73" i="8" s="1"/>
  <c r="N72" i="8" a="1"/>
  <c r="N72" i="8" s="1"/>
  <c r="M72" i="8"/>
  <c r="L72" i="8"/>
  <c r="J72" i="8"/>
  <c r="K72" i="8" s="1"/>
  <c r="N71" i="8" a="1"/>
  <c r="N71" i="8" s="1"/>
  <c r="M71" i="8"/>
  <c r="L71" i="8"/>
  <c r="J71" i="8"/>
  <c r="K71" i="8" s="1"/>
  <c r="N70" i="8" a="1"/>
  <c r="N70" i="8" s="1"/>
  <c r="M70" i="8"/>
  <c r="L70" i="8"/>
  <c r="J70" i="8"/>
  <c r="K70" i="8" s="1"/>
  <c r="N69" i="8" a="1"/>
  <c r="N69" i="8" s="1"/>
  <c r="M69" i="8"/>
  <c r="L69" i="8"/>
  <c r="J69" i="8"/>
  <c r="K69" i="8" s="1"/>
  <c r="N68" i="8" a="1"/>
  <c r="N68" i="8" s="1"/>
  <c r="M68" i="8"/>
  <c r="L68" i="8"/>
  <c r="J68" i="8"/>
  <c r="K68" i="8" s="1"/>
  <c r="N67" i="8" a="1"/>
  <c r="N67" i="8" s="1"/>
  <c r="M67" i="8"/>
  <c r="L67" i="8"/>
  <c r="J67" i="8"/>
  <c r="K67" i="8" s="1"/>
  <c r="N66" i="8" a="1"/>
  <c r="N66" i="8" s="1"/>
  <c r="M66" i="8"/>
  <c r="L66" i="8"/>
  <c r="J66" i="8"/>
  <c r="K66" i="8" s="1"/>
  <c r="N65" i="8" a="1"/>
  <c r="N65" i="8" s="1"/>
  <c r="M65" i="8"/>
  <c r="L65" i="8"/>
  <c r="J65" i="8"/>
  <c r="K65" i="8" s="1"/>
  <c r="N64" i="8" a="1"/>
  <c r="N64" i="8" s="1"/>
  <c r="M64" i="8"/>
  <c r="L64" i="8"/>
  <c r="J64" i="8"/>
  <c r="K64" i="8" s="1"/>
  <c r="N63" i="8" a="1"/>
  <c r="N63" i="8" s="1"/>
  <c r="M63" i="8"/>
  <c r="L63" i="8"/>
  <c r="J63" i="8"/>
  <c r="K63" i="8" s="1"/>
  <c r="N62" i="8" a="1"/>
  <c r="N62" i="8" s="1"/>
  <c r="M62" i="8"/>
  <c r="L62" i="8"/>
  <c r="J62" i="8"/>
  <c r="K62" i="8" s="1"/>
  <c r="N61" i="8" a="1"/>
  <c r="N61" i="8" s="1"/>
  <c r="M61" i="8"/>
  <c r="L61" i="8"/>
  <c r="J61" i="8"/>
  <c r="K61" i="8" s="1"/>
  <c r="N60" i="8" a="1"/>
  <c r="N60" i="8" s="1"/>
  <c r="M60" i="8"/>
  <c r="L60" i="8"/>
  <c r="J60" i="8"/>
  <c r="K60" i="8" s="1"/>
  <c r="N59" i="8" a="1"/>
  <c r="N59" i="8" s="1"/>
  <c r="M59" i="8"/>
  <c r="L59" i="8"/>
  <c r="J59" i="8"/>
  <c r="K59" i="8" s="1"/>
  <c r="N58" i="8" a="1"/>
  <c r="N58" i="8" s="1"/>
  <c r="M58" i="8"/>
  <c r="L58" i="8"/>
  <c r="J58" i="8"/>
  <c r="K58" i="8" s="1"/>
  <c r="N57" i="8" a="1"/>
  <c r="N57" i="8" s="1"/>
  <c r="M57" i="8"/>
  <c r="L57" i="8"/>
  <c r="J57" i="8"/>
  <c r="K57" i="8" s="1"/>
  <c r="N56" i="8" a="1"/>
  <c r="N56" i="8" s="1"/>
  <c r="M56" i="8"/>
  <c r="L56" i="8"/>
  <c r="J56" i="8"/>
  <c r="K56" i="8" s="1"/>
  <c r="N55" i="8" a="1"/>
  <c r="N55" i="8" s="1"/>
  <c r="M55" i="8"/>
  <c r="L55" i="8"/>
  <c r="J55" i="8"/>
  <c r="K55" i="8" s="1"/>
  <c r="N54" i="8" a="1"/>
  <c r="N54" i="8" s="1"/>
  <c r="M54" i="8"/>
  <c r="L54" i="8"/>
  <c r="J54" i="8"/>
  <c r="K54" i="8" s="1"/>
  <c r="N53" i="8" a="1"/>
  <c r="N53" i="8" s="1"/>
  <c r="M53" i="8"/>
  <c r="L53" i="8"/>
  <c r="J53" i="8"/>
  <c r="K53" i="8" s="1"/>
  <c r="N52" i="8" a="1"/>
  <c r="N52" i="8" s="1"/>
  <c r="M52" i="8"/>
  <c r="L52" i="8"/>
  <c r="J52" i="8"/>
  <c r="K52" i="8" s="1"/>
  <c r="N51" i="8" a="1"/>
  <c r="N51" i="8" s="1"/>
  <c r="M51" i="8"/>
  <c r="L51" i="8"/>
  <c r="J51" i="8"/>
  <c r="K51" i="8" s="1"/>
  <c r="N50" i="8" a="1"/>
  <c r="N50" i="8" s="1"/>
  <c r="M50" i="8"/>
  <c r="L50" i="8"/>
  <c r="J50" i="8"/>
  <c r="K50" i="8" s="1"/>
  <c r="N49" i="8" a="1"/>
  <c r="N49" i="8" s="1"/>
  <c r="M49" i="8"/>
  <c r="L49" i="8"/>
  <c r="J49" i="8"/>
  <c r="K49" i="8" s="1"/>
  <c r="N48" i="8" a="1"/>
  <c r="N48" i="8" s="1"/>
  <c r="M48" i="8"/>
  <c r="L48" i="8"/>
  <c r="J48" i="8"/>
  <c r="K48" i="8" s="1"/>
  <c r="N47" i="8" a="1"/>
  <c r="N47" i="8" s="1"/>
  <c r="M47" i="8"/>
  <c r="L47" i="8"/>
  <c r="J47" i="8"/>
  <c r="K47" i="8" s="1"/>
  <c r="N46" i="8" a="1"/>
  <c r="N46" i="8" s="1"/>
  <c r="M46" i="8"/>
  <c r="L46" i="8"/>
  <c r="J46" i="8"/>
  <c r="K46" i="8" s="1"/>
  <c r="N45" i="8" a="1"/>
  <c r="N45" i="8" s="1"/>
  <c r="M45" i="8"/>
  <c r="L45" i="8"/>
  <c r="J45" i="8"/>
  <c r="K45" i="8" s="1"/>
  <c r="N44" i="8" a="1"/>
  <c r="N44" i="8" s="1"/>
  <c r="M44" i="8"/>
  <c r="L44" i="8"/>
  <c r="J44" i="8"/>
  <c r="K44" i="8" s="1"/>
  <c r="N43" i="8" a="1"/>
  <c r="N43" i="8" s="1"/>
  <c r="M43" i="8"/>
  <c r="L43" i="8"/>
  <c r="J43" i="8"/>
  <c r="K43" i="8" s="1"/>
  <c r="N42" i="8" a="1"/>
  <c r="N42" i="8" s="1"/>
  <c r="M42" i="8"/>
  <c r="L42" i="8"/>
  <c r="J42" i="8"/>
  <c r="K42" i="8" s="1"/>
  <c r="N41" i="8" a="1"/>
  <c r="N41" i="8" s="1"/>
  <c r="M41" i="8"/>
  <c r="L41" i="8"/>
  <c r="J41" i="8"/>
  <c r="K41" i="8" s="1"/>
  <c r="N40" i="8" a="1"/>
  <c r="N40" i="8" s="1"/>
  <c r="M40" i="8"/>
  <c r="L40" i="8"/>
  <c r="J40" i="8"/>
  <c r="K40" i="8" s="1"/>
  <c r="N39" i="8" a="1"/>
  <c r="N39" i="8" s="1"/>
  <c r="M39" i="8"/>
  <c r="L39" i="8"/>
  <c r="J39" i="8"/>
  <c r="K39" i="8" s="1"/>
  <c r="N38" i="8" a="1"/>
  <c r="N38" i="8" s="1"/>
  <c r="M38" i="8"/>
  <c r="L38" i="8"/>
  <c r="J38" i="8"/>
  <c r="K38" i="8" s="1"/>
  <c r="N37" i="8" a="1"/>
  <c r="N37" i="8" s="1"/>
  <c r="M37" i="8"/>
  <c r="L37" i="8"/>
  <c r="J37" i="8"/>
  <c r="K37" i="8" s="1"/>
  <c r="N36" i="8" a="1"/>
  <c r="N36" i="8" s="1"/>
  <c r="M36" i="8"/>
  <c r="L36" i="8"/>
  <c r="J36" i="8"/>
  <c r="K36" i="8" s="1"/>
  <c r="N35" i="8" a="1"/>
  <c r="N35" i="8" s="1"/>
  <c r="M35" i="8"/>
  <c r="L35" i="8"/>
  <c r="J35" i="8"/>
  <c r="K35" i="8" s="1"/>
  <c r="N34" i="8" a="1"/>
  <c r="N34" i="8" s="1"/>
  <c r="M34" i="8"/>
  <c r="L34" i="8"/>
  <c r="J34" i="8"/>
  <c r="K34" i="8" s="1"/>
  <c r="N33" i="8" a="1"/>
  <c r="N33" i="8" s="1"/>
  <c r="M33" i="8"/>
  <c r="L33" i="8"/>
  <c r="J33" i="8"/>
  <c r="K33" i="8" s="1"/>
  <c r="N32" i="8" a="1"/>
  <c r="N32" i="8" s="1"/>
  <c r="M32" i="8"/>
  <c r="L32" i="8"/>
  <c r="J32" i="8"/>
  <c r="K32" i="8" s="1"/>
  <c r="N31" i="8" a="1"/>
  <c r="N31" i="8" s="1"/>
  <c r="M31" i="8"/>
  <c r="L31" i="8"/>
  <c r="J31" i="8"/>
  <c r="K31" i="8" s="1"/>
  <c r="N30" i="8" a="1"/>
  <c r="N30" i="8" s="1"/>
  <c r="M30" i="8"/>
  <c r="L30" i="8"/>
  <c r="J30" i="8"/>
  <c r="K30" i="8" s="1"/>
  <c r="N29" i="8" a="1"/>
  <c r="N29" i="8" s="1"/>
  <c r="M29" i="8"/>
  <c r="L29" i="8"/>
  <c r="J29" i="8"/>
  <c r="K29" i="8" s="1"/>
  <c r="N28" i="8" a="1"/>
  <c r="N28" i="8" s="1"/>
  <c r="M28" i="8"/>
  <c r="L28" i="8"/>
  <c r="J28" i="8"/>
  <c r="K28" i="8" s="1"/>
  <c r="N27" i="8" a="1"/>
  <c r="N27" i="8" s="1"/>
  <c r="M27" i="8"/>
  <c r="L27" i="8"/>
  <c r="J27" i="8"/>
  <c r="K27" i="8" s="1"/>
  <c r="N26" i="8" a="1"/>
  <c r="N26" i="8" s="1"/>
  <c r="M26" i="8"/>
  <c r="L26" i="8"/>
  <c r="J26" i="8"/>
  <c r="K26" i="8" s="1"/>
  <c r="N25" i="8" a="1"/>
  <c r="N25" i="8" s="1"/>
  <c r="M25" i="8"/>
  <c r="L25" i="8"/>
  <c r="J25" i="8"/>
  <c r="K25" i="8" s="1"/>
  <c r="N24" i="8" a="1"/>
  <c r="N24" i="8" s="1"/>
  <c r="M24" i="8"/>
  <c r="L24" i="8"/>
  <c r="J24" i="8"/>
  <c r="K24" i="8" s="1"/>
  <c r="N23" i="8" a="1"/>
  <c r="N23" i="8" s="1"/>
  <c r="M23" i="8"/>
  <c r="L23" i="8"/>
  <c r="J23" i="8"/>
  <c r="K23" i="8" s="1"/>
  <c r="N22" i="8" a="1"/>
  <c r="N22" i="8" s="1"/>
  <c r="M22" i="8"/>
  <c r="L22" i="8"/>
  <c r="J22" i="8"/>
  <c r="K22" i="8" s="1"/>
  <c r="N21" i="8" a="1"/>
  <c r="N21" i="8" s="1"/>
  <c r="M21" i="8"/>
  <c r="L21" i="8"/>
  <c r="J21" i="8"/>
  <c r="K21" i="8" s="1"/>
  <c r="N20" i="8" a="1"/>
  <c r="N20" i="8" s="1"/>
  <c r="M20" i="8"/>
  <c r="L20" i="8"/>
  <c r="J20" i="8"/>
  <c r="K20" i="8" s="1"/>
  <c r="N19" i="8" a="1"/>
  <c r="N19" i="8" s="1"/>
  <c r="M19" i="8"/>
  <c r="L19" i="8"/>
  <c r="J19" i="8"/>
  <c r="K19" i="8" s="1"/>
  <c r="N18" i="8" a="1"/>
  <c r="N18" i="8" s="1"/>
  <c r="M18" i="8"/>
  <c r="L18" i="8"/>
  <c r="J18" i="8"/>
  <c r="K18" i="8" s="1"/>
  <c r="N17" i="8" a="1"/>
  <c r="N17" i="8" s="1"/>
  <c r="M17" i="8"/>
  <c r="L17" i="8"/>
  <c r="J17" i="8"/>
  <c r="K17" i="8" s="1"/>
  <c r="N16" i="8" a="1"/>
  <c r="N16" i="8" s="1"/>
  <c r="M16" i="8"/>
  <c r="L16" i="8"/>
  <c r="J16" i="8"/>
  <c r="K16" i="8" s="1"/>
  <c r="N15" i="8" a="1"/>
  <c r="N15" i="8" s="1"/>
  <c r="M15" i="8"/>
  <c r="L15" i="8"/>
  <c r="J15" i="8"/>
  <c r="K15" i="8" s="1"/>
  <c r="N14" i="8" a="1"/>
  <c r="N14" i="8" s="1"/>
  <c r="M14" i="8"/>
  <c r="L14" i="8"/>
  <c r="J14" i="8"/>
  <c r="K14" i="8" s="1"/>
  <c r="N13" i="8" a="1"/>
  <c r="N13" i="8" s="1"/>
  <c r="M13" i="8"/>
  <c r="L13" i="8"/>
  <c r="J13" i="8"/>
  <c r="K13" i="8" s="1"/>
  <c r="N12" i="8" a="1"/>
  <c r="N12" i="8" s="1"/>
  <c r="M12" i="8"/>
  <c r="L12" i="8"/>
  <c r="J12" i="8"/>
  <c r="K12" i="8" s="1"/>
  <c r="N11" i="8" a="1"/>
  <c r="N11" i="8" s="1"/>
  <c r="M11" i="8"/>
  <c r="L11" i="8"/>
  <c r="J11" i="8"/>
  <c r="K11" i="8" s="1"/>
  <c r="N10" i="8" a="1"/>
  <c r="N10" i="8" s="1"/>
  <c r="M10" i="8"/>
  <c r="L10" i="8"/>
  <c r="J10" i="8"/>
  <c r="K10" i="8" s="1"/>
  <c r="N9" i="8" a="1"/>
  <c r="N9" i="8" s="1"/>
  <c r="M9" i="8"/>
  <c r="L9" i="8"/>
  <c r="J9" i="8"/>
  <c r="K9" i="8" s="1"/>
  <c r="N8" i="8" a="1"/>
  <c r="N8" i="8" s="1"/>
  <c r="M8" i="8"/>
  <c r="L8" i="8"/>
  <c r="J8" i="8"/>
  <c r="K8" i="8" s="1"/>
  <c r="N7" i="8" a="1"/>
  <c r="N7" i="8" s="1"/>
  <c r="M7" i="8"/>
  <c r="L7" i="8"/>
  <c r="J7" i="8"/>
  <c r="K7" i="8" s="1"/>
  <c r="N6" i="8" a="1"/>
  <c r="N6" i="8" s="1"/>
  <c r="M6" i="8"/>
  <c r="L6" i="8"/>
  <c r="J6" i="8"/>
  <c r="K6" i="8" s="1"/>
  <c r="N5" i="8" a="1"/>
  <c r="N5" i="8" s="1"/>
  <c r="M5" i="8"/>
  <c r="L5" i="8"/>
  <c r="J5" i="8"/>
  <c r="K5" i="8" s="1"/>
  <c r="N4" i="8" a="1"/>
  <c r="N4" i="8" s="1"/>
  <c r="M4" i="8"/>
  <c r="L4" i="8"/>
  <c r="J4" i="8"/>
  <c r="K4" i="8" s="1"/>
  <c r="N3" i="8" a="1"/>
  <c r="N3" i="8" s="1"/>
  <c r="M3" i="8"/>
  <c r="L3" i="8"/>
  <c r="J3" i="8"/>
  <c r="K3" i="8" s="1"/>
  <c r="N2" i="8" a="1"/>
  <c r="N2" i="8" s="1"/>
  <c r="M2" i="8"/>
  <c r="L2" i="8"/>
  <c r="J2" i="8"/>
  <c r="K2" i="8" s="1"/>
  <c r="N4" i="7" a="1"/>
  <c r="N4" i="7" s="1"/>
  <c r="M4" i="7"/>
  <c r="L4" i="7"/>
  <c r="J4" i="7"/>
  <c r="K4" i="7" s="1"/>
  <c r="N40" i="7" a="1"/>
  <c r="N40" i="7" s="1"/>
  <c r="M40" i="7"/>
  <c r="L40" i="7"/>
  <c r="J40" i="7"/>
  <c r="K40" i="7" s="1"/>
  <c r="N69" i="7" a="1"/>
  <c r="N69" i="7" s="1"/>
  <c r="M69" i="7"/>
  <c r="L69" i="7"/>
  <c r="J69" i="7"/>
  <c r="K69" i="7" s="1"/>
  <c r="N24" i="7" a="1"/>
  <c r="N24" i="7" s="1"/>
  <c r="M24" i="7"/>
  <c r="L24" i="7"/>
  <c r="J24" i="7"/>
  <c r="K24" i="7" s="1"/>
  <c r="N45" i="7" a="1"/>
  <c r="N45" i="7" s="1"/>
  <c r="M45" i="7"/>
  <c r="L45" i="7"/>
  <c r="J45" i="7"/>
  <c r="K45" i="7" s="1"/>
  <c r="N99" i="7" a="1"/>
  <c r="N99" i="7" s="1"/>
  <c r="M99" i="7"/>
  <c r="L99" i="7"/>
  <c r="J99" i="7"/>
  <c r="K99" i="7" s="1"/>
  <c r="N13" i="7" a="1"/>
  <c r="N13" i="7" s="1"/>
  <c r="M13" i="7"/>
  <c r="L13" i="7"/>
  <c r="J13" i="7"/>
  <c r="K13" i="7" s="1"/>
  <c r="N63" i="7" a="1"/>
  <c r="N63" i="7" s="1"/>
  <c r="M63" i="7"/>
  <c r="L63" i="7"/>
  <c r="J63" i="7"/>
  <c r="K63" i="7" s="1"/>
  <c r="N36" i="7" a="1"/>
  <c r="N36" i="7" s="1"/>
  <c r="M36" i="7"/>
  <c r="L36" i="7"/>
  <c r="J36" i="7"/>
  <c r="K36" i="7" s="1"/>
  <c r="N80" i="7" a="1"/>
  <c r="N80" i="7" s="1"/>
  <c r="M80" i="7"/>
  <c r="L80" i="7"/>
  <c r="J80" i="7"/>
  <c r="K80" i="7" s="1"/>
  <c r="N5" i="7" a="1"/>
  <c r="N5" i="7" s="1"/>
  <c r="M5" i="7"/>
  <c r="L5" i="7"/>
  <c r="J5" i="7"/>
  <c r="K5" i="7" s="1"/>
  <c r="N72" i="7" a="1"/>
  <c r="N72" i="7" s="1"/>
  <c r="M72" i="7"/>
  <c r="L72" i="7"/>
  <c r="J72" i="7"/>
  <c r="K72" i="7" s="1"/>
  <c r="N19" i="7" a="1"/>
  <c r="N19" i="7" s="1"/>
  <c r="M19" i="7"/>
  <c r="L19" i="7"/>
  <c r="J19" i="7"/>
  <c r="K19" i="7" s="1"/>
  <c r="N91" i="7" a="1"/>
  <c r="N91" i="7" s="1"/>
  <c r="M91" i="7"/>
  <c r="L91" i="7"/>
  <c r="J91" i="7"/>
  <c r="K91" i="7" s="1"/>
  <c r="N37" i="7" a="1"/>
  <c r="N37" i="7" s="1"/>
  <c r="M37" i="7"/>
  <c r="L37" i="7"/>
  <c r="J37" i="7"/>
  <c r="K37" i="7" s="1"/>
  <c r="N53" i="7" a="1"/>
  <c r="N53" i="7" s="1"/>
  <c r="M53" i="7"/>
  <c r="L53" i="7"/>
  <c r="J53" i="7"/>
  <c r="K53" i="7" s="1"/>
  <c r="N2" i="7" a="1"/>
  <c r="N2" i="7" s="1"/>
  <c r="M2" i="7"/>
  <c r="L2" i="7"/>
  <c r="J2" i="7"/>
  <c r="K2" i="7" s="1"/>
  <c r="N83" i="7" a="1"/>
  <c r="N83" i="7" s="1"/>
  <c r="M83" i="7"/>
  <c r="L83" i="7"/>
  <c r="J83" i="7"/>
  <c r="K83" i="7" s="1"/>
  <c r="N32" i="7" a="1"/>
  <c r="N32" i="7" s="1"/>
  <c r="M32" i="7"/>
  <c r="L32" i="7"/>
  <c r="J32" i="7"/>
  <c r="K32" i="7" s="1"/>
  <c r="N68" i="7" a="1"/>
  <c r="N68" i="7" s="1"/>
  <c r="M68" i="7"/>
  <c r="L68" i="7"/>
  <c r="J68" i="7"/>
  <c r="K68" i="7" s="1"/>
  <c r="N17" i="7" a="1"/>
  <c r="N17" i="7" s="1"/>
  <c r="M17" i="7"/>
  <c r="L17" i="7"/>
  <c r="J17" i="7"/>
  <c r="K17" i="7" s="1"/>
  <c r="N95" i="7" a="1"/>
  <c r="N95" i="7" s="1"/>
  <c r="M95" i="7"/>
  <c r="L95" i="7"/>
  <c r="J95" i="7"/>
  <c r="K95" i="7" s="1"/>
  <c r="N55" i="7" a="1"/>
  <c r="N55" i="7" s="1"/>
  <c r="M55" i="7"/>
  <c r="L55" i="7"/>
  <c r="J55" i="7"/>
  <c r="K55" i="7" s="1"/>
  <c r="N26" i="7" a="1"/>
  <c r="N26" i="7" s="1"/>
  <c r="M26" i="7"/>
  <c r="L26" i="7"/>
  <c r="J26" i="7"/>
  <c r="K26" i="7" s="1"/>
  <c r="N48" i="7" a="1"/>
  <c r="N48" i="7" s="1"/>
  <c r="M48" i="7"/>
  <c r="L48" i="7"/>
  <c r="J48" i="7"/>
  <c r="K48" i="7" s="1"/>
  <c r="N81" i="7" a="1"/>
  <c r="N81" i="7" s="1"/>
  <c r="M81" i="7"/>
  <c r="L81" i="7"/>
  <c r="J81" i="7"/>
  <c r="K81" i="7" s="1"/>
  <c r="N10" i="7" a="1"/>
  <c r="N10" i="7" s="1"/>
  <c r="M10" i="7"/>
  <c r="L10" i="7"/>
  <c r="J10" i="7"/>
  <c r="K10" i="7" s="1"/>
  <c r="N52" i="7" a="1"/>
  <c r="N52" i="7" s="1"/>
  <c r="M52" i="7"/>
  <c r="L52" i="7"/>
  <c r="J52" i="7"/>
  <c r="K52" i="7" s="1"/>
  <c r="N31" i="7" a="1"/>
  <c r="N31" i="7" s="1"/>
  <c r="M31" i="7"/>
  <c r="L31" i="7"/>
  <c r="J31" i="7"/>
  <c r="K31" i="7" s="1"/>
  <c r="N97" i="7" a="1"/>
  <c r="N97" i="7" s="1"/>
  <c r="M97" i="7"/>
  <c r="L97" i="7"/>
  <c r="J97" i="7"/>
  <c r="K97" i="7" s="1"/>
  <c r="N9" i="7" a="1"/>
  <c r="N9" i="7" s="1"/>
  <c r="M9" i="7"/>
  <c r="L9" i="7"/>
  <c r="J9" i="7"/>
  <c r="K9" i="7" s="1"/>
  <c r="N60" i="7" a="1"/>
  <c r="N60" i="7" s="1"/>
  <c r="M60" i="7"/>
  <c r="L60" i="7"/>
  <c r="J60" i="7"/>
  <c r="K60" i="7" s="1"/>
  <c r="N23" i="7" a="1"/>
  <c r="N23" i="7" s="1"/>
  <c r="M23" i="7"/>
  <c r="L23" i="7"/>
  <c r="J23" i="7"/>
  <c r="K23" i="7" s="1"/>
  <c r="N85" i="7" a="1"/>
  <c r="N85" i="7" s="1"/>
  <c r="M85" i="7"/>
  <c r="L85" i="7"/>
  <c r="J85" i="7"/>
  <c r="K85" i="7" s="1"/>
  <c r="N38" i="7" a="1"/>
  <c r="N38" i="7" s="1"/>
  <c r="M38" i="7"/>
  <c r="L38" i="7"/>
  <c r="J38" i="7"/>
  <c r="K38" i="7" s="1"/>
  <c r="N74" i="7" a="1"/>
  <c r="N74" i="7" s="1"/>
  <c r="M74" i="7"/>
  <c r="L74" i="7"/>
  <c r="J74" i="7"/>
  <c r="K74" i="7" s="1"/>
  <c r="N21" i="7" a="1"/>
  <c r="N21" i="7" s="1"/>
  <c r="M21" i="7"/>
  <c r="L21" i="7"/>
  <c r="J21" i="7"/>
  <c r="K21" i="7" s="1"/>
  <c r="N93" i="7" a="1"/>
  <c r="N93" i="7" s="1"/>
  <c r="M93" i="7"/>
  <c r="L93" i="7"/>
  <c r="J93" i="7"/>
  <c r="K93" i="7" s="1"/>
  <c r="N62" i="7" a="1"/>
  <c r="N62" i="7" s="1"/>
  <c r="M62" i="7"/>
  <c r="L62" i="7"/>
  <c r="J62" i="7"/>
  <c r="K62" i="7" s="1"/>
  <c r="N6" i="7" a="1"/>
  <c r="N6" i="7" s="1"/>
  <c r="M6" i="7"/>
  <c r="L6" i="7"/>
  <c r="J6" i="7"/>
  <c r="K6" i="7" s="1"/>
  <c r="N46" i="7" a="1"/>
  <c r="N46" i="7" s="1"/>
  <c r="M46" i="7"/>
  <c r="L46" i="7"/>
  <c r="J46" i="7"/>
  <c r="K46" i="7" s="1"/>
  <c r="N82" i="7" a="1"/>
  <c r="N82" i="7" s="1"/>
  <c r="M82" i="7"/>
  <c r="L82" i="7"/>
  <c r="J82" i="7"/>
  <c r="K82" i="7" s="1"/>
  <c r="N20" i="7" a="1"/>
  <c r="N20" i="7" s="1"/>
  <c r="M20" i="7"/>
  <c r="L20" i="7"/>
  <c r="J20" i="7"/>
  <c r="K20" i="7" s="1"/>
  <c r="N66" i="7" a="1"/>
  <c r="N66" i="7" s="1"/>
  <c r="M66" i="7"/>
  <c r="L66" i="7"/>
  <c r="J66" i="7"/>
  <c r="K66" i="7" s="1"/>
  <c r="N35" i="7" a="1"/>
  <c r="N35" i="7" s="1"/>
  <c r="M35" i="7"/>
  <c r="L35" i="7"/>
  <c r="J35" i="7"/>
  <c r="K35" i="7" s="1"/>
  <c r="N88" i="7" a="1"/>
  <c r="N88" i="7" s="1"/>
  <c r="M88" i="7"/>
  <c r="L88" i="7"/>
  <c r="J88" i="7"/>
  <c r="K88" i="7" s="1"/>
  <c r="N12" i="7" a="1"/>
  <c r="N12" i="7" s="1"/>
  <c r="M12" i="7"/>
  <c r="L12" i="7"/>
  <c r="J12" i="7"/>
  <c r="K12" i="7" s="1"/>
  <c r="N56" i="7" a="1"/>
  <c r="N56" i="7" s="1"/>
  <c r="M56" i="7"/>
  <c r="L56" i="7"/>
  <c r="J56" i="7"/>
  <c r="K56" i="7" s="1"/>
  <c r="N78" i="7" a="1"/>
  <c r="N78" i="7" s="1"/>
  <c r="M78" i="7"/>
  <c r="L78" i="7"/>
  <c r="J78" i="7"/>
  <c r="K78" i="7" s="1"/>
  <c r="N30" i="7" a="1"/>
  <c r="N30" i="7" s="1"/>
  <c r="M30" i="7"/>
  <c r="L30" i="7"/>
  <c r="J30" i="7"/>
  <c r="K30" i="7" s="1"/>
  <c r="N47" i="7" a="1"/>
  <c r="N47" i="7" s="1"/>
  <c r="M47" i="7"/>
  <c r="L47" i="7"/>
  <c r="J47" i="7"/>
  <c r="K47" i="7" s="1"/>
  <c r="N70" i="7" a="1"/>
  <c r="N70" i="7" s="1"/>
  <c r="M70" i="7"/>
  <c r="L70" i="7"/>
  <c r="J70" i="7"/>
  <c r="K70" i="7" s="1"/>
  <c r="N8" i="7" a="1"/>
  <c r="N8" i="7" s="1"/>
  <c r="M8" i="7"/>
  <c r="L8" i="7"/>
  <c r="J8" i="7"/>
  <c r="K8" i="7" s="1"/>
  <c r="N101" i="7" a="1"/>
  <c r="N101" i="7" s="1"/>
  <c r="M101" i="7"/>
  <c r="L101" i="7"/>
  <c r="J101" i="7"/>
  <c r="K101" i="7" s="1"/>
  <c r="N58" i="7" a="1"/>
  <c r="N58" i="7" s="1"/>
  <c r="M58" i="7"/>
  <c r="L58" i="7"/>
  <c r="J58" i="7"/>
  <c r="K58" i="7" s="1"/>
  <c r="N25" i="7" a="1"/>
  <c r="N25" i="7" s="1"/>
  <c r="M25" i="7"/>
  <c r="L25" i="7"/>
  <c r="J25" i="7"/>
  <c r="K25" i="7" s="1"/>
  <c r="N51" i="7" a="1"/>
  <c r="N51" i="7" s="1"/>
  <c r="M51" i="7"/>
  <c r="L51" i="7"/>
  <c r="J51" i="7"/>
  <c r="K51" i="7" s="1"/>
  <c r="N90" i="7" a="1"/>
  <c r="N90" i="7" s="1"/>
  <c r="M90" i="7"/>
  <c r="L90" i="7"/>
  <c r="J90" i="7"/>
  <c r="K90" i="7" s="1"/>
  <c r="N33" i="7" a="1"/>
  <c r="N33" i="7" s="1"/>
  <c r="M33" i="7"/>
  <c r="L33" i="7"/>
  <c r="J33" i="7"/>
  <c r="K33" i="7" s="1"/>
  <c r="N76" i="7" a="1"/>
  <c r="N76" i="7" s="1"/>
  <c r="M76" i="7"/>
  <c r="L76" i="7"/>
  <c r="J76" i="7"/>
  <c r="K76" i="7" s="1"/>
  <c r="N18" i="7" a="1"/>
  <c r="N18" i="7" s="1"/>
  <c r="M18" i="7"/>
  <c r="L18" i="7"/>
  <c r="J18" i="7"/>
  <c r="K18" i="7" s="1"/>
  <c r="N65" i="7" a="1"/>
  <c r="N65" i="7" s="1"/>
  <c r="M65" i="7"/>
  <c r="L65" i="7"/>
  <c r="J65" i="7"/>
  <c r="K65" i="7" s="1"/>
  <c r="N39" i="7" a="1"/>
  <c r="N39" i="7" s="1"/>
  <c r="M39" i="7"/>
  <c r="L39" i="7"/>
  <c r="J39" i="7"/>
  <c r="K39" i="7" s="1"/>
  <c r="N96" i="7" a="1"/>
  <c r="N96" i="7" s="1"/>
  <c r="M96" i="7"/>
  <c r="L96" i="7"/>
  <c r="J96" i="7"/>
  <c r="K96" i="7" s="1"/>
  <c r="N3" i="7" a="1"/>
  <c r="N3" i="7" s="1"/>
  <c r="M3" i="7"/>
  <c r="L3" i="7"/>
  <c r="J3" i="7"/>
  <c r="K3" i="7" s="1"/>
  <c r="N73" i="7" a="1"/>
  <c r="N73" i="7" s="1"/>
  <c r="M73" i="7"/>
  <c r="L73" i="7"/>
  <c r="J73" i="7"/>
  <c r="K73" i="7" s="1"/>
  <c r="N49" i="7" a="1"/>
  <c r="N49" i="7" s="1"/>
  <c r="M49" i="7"/>
  <c r="L49" i="7"/>
  <c r="J49" i="7"/>
  <c r="K49" i="7" s="1"/>
  <c r="N87" i="7" a="1"/>
  <c r="N87" i="7" s="1"/>
  <c r="M87" i="7"/>
  <c r="L87" i="7"/>
  <c r="J87" i="7"/>
  <c r="K87" i="7" s="1"/>
  <c r="N28" i="7" a="1"/>
  <c r="N28" i="7" s="1"/>
  <c r="M28" i="7"/>
  <c r="L28" i="7"/>
  <c r="J28" i="7"/>
  <c r="K28" i="7" s="1"/>
  <c r="N44" i="7" a="1"/>
  <c r="N44" i="7" s="1"/>
  <c r="M44" i="7"/>
  <c r="L44" i="7"/>
  <c r="J44" i="7"/>
  <c r="K44" i="7" s="1"/>
  <c r="N61" i="7" a="1"/>
  <c r="N61" i="7" s="1"/>
  <c r="M61" i="7"/>
  <c r="L61" i="7"/>
  <c r="J61" i="7"/>
  <c r="K61" i="7" s="1"/>
  <c r="N86" i="7" a="1"/>
  <c r="N86" i="7" s="1"/>
  <c r="M86" i="7"/>
  <c r="L86" i="7"/>
  <c r="J86" i="7"/>
  <c r="K86" i="7" s="1"/>
  <c r="N7" i="7" a="1"/>
  <c r="N7" i="7" s="1"/>
  <c r="M7" i="7"/>
  <c r="L7" i="7"/>
  <c r="J7" i="7"/>
  <c r="K7" i="7" s="1"/>
  <c r="N59" i="7" a="1"/>
  <c r="N59" i="7" s="1"/>
  <c r="M59" i="7"/>
  <c r="L59" i="7"/>
  <c r="J59" i="7"/>
  <c r="K59" i="7" s="1"/>
  <c r="N27" i="7" a="1"/>
  <c r="N27" i="7" s="1"/>
  <c r="M27" i="7"/>
  <c r="L27" i="7"/>
  <c r="J27" i="7"/>
  <c r="K27" i="7" s="1"/>
  <c r="N94" i="7" a="1"/>
  <c r="N94" i="7" s="1"/>
  <c r="M94" i="7"/>
  <c r="L94" i="7"/>
  <c r="J94" i="7"/>
  <c r="K94" i="7" s="1"/>
  <c r="N43" i="7" a="1"/>
  <c r="N43" i="7" s="1"/>
  <c r="M43" i="7"/>
  <c r="L43" i="7"/>
  <c r="J43" i="7"/>
  <c r="K43" i="7" s="1"/>
  <c r="N79" i="7" a="1"/>
  <c r="N79" i="7" s="1"/>
  <c r="M79" i="7"/>
  <c r="L79" i="7"/>
  <c r="J79" i="7"/>
  <c r="K79" i="7" s="1"/>
  <c r="N71" i="7" a="1"/>
  <c r="N71" i="7" s="1"/>
  <c r="M71" i="7"/>
  <c r="L71" i="7"/>
  <c r="J71" i="7"/>
  <c r="K71" i="7" s="1"/>
  <c r="N16" i="7" a="1"/>
  <c r="N16" i="7" s="1"/>
  <c r="M16" i="7"/>
  <c r="L16" i="7"/>
  <c r="J16" i="7"/>
  <c r="K16" i="7" s="1"/>
  <c r="N57" i="7" a="1"/>
  <c r="N57" i="7" s="1"/>
  <c r="M57" i="7"/>
  <c r="L57" i="7"/>
  <c r="J57" i="7"/>
  <c r="K57" i="7" s="1"/>
  <c r="N100" i="7" a="1"/>
  <c r="N100" i="7" s="1"/>
  <c r="M100" i="7"/>
  <c r="L100" i="7"/>
  <c r="J100" i="7"/>
  <c r="K100" i="7" s="1"/>
  <c r="N41" i="7" a="1"/>
  <c r="N41" i="7" s="1"/>
  <c r="M41" i="7"/>
  <c r="L41" i="7"/>
  <c r="J41" i="7"/>
  <c r="K41" i="7" s="1"/>
  <c r="N84" i="7" a="1"/>
  <c r="N84" i="7" s="1"/>
  <c r="M84" i="7"/>
  <c r="L84" i="7"/>
  <c r="J84" i="7"/>
  <c r="K84" i="7" s="1"/>
  <c r="N15" i="7" a="1"/>
  <c r="N15" i="7" s="1"/>
  <c r="M15" i="7"/>
  <c r="L15" i="7"/>
  <c r="J15" i="7"/>
  <c r="K15" i="7" s="1"/>
  <c r="N64" i="7" a="1"/>
  <c r="N64" i="7" s="1"/>
  <c r="M64" i="7"/>
  <c r="L64" i="7"/>
  <c r="J64" i="7"/>
  <c r="K64" i="7" s="1"/>
  <c r="N50" i="7" a="1"/>
  <c r="N50" i="7" s="1"/>
  <c r="M50" i="7"/>
  <c r="L50" i="7"/>
  <c r="J50" i="7"/>
  <c r="K50" i="7" s="1"/>
  <c r="N92" i="7" a="1"/>
  <c r="N92" i="7" s="1"/>
  <c r="M92" i="7"/>
  <c r="L92" i="7"/>
  <c r="J92" i="7"/>
  <c r="K92" i="7" s="1"/>
  <c r="N22" i="7" a="1"/>
  <c r="N22" i="7" s="1"/>
  <c r="M22" i="7"/>
  <c r="L22" i="7"/>
  <c r="J22" i="7"/>
  <c r="K22" i="7" s="1"/>
  <c r="N34" i="7" a="1"/>
  <c r="N34" i="7" s="1"/>
  <c r="M34" i="7"/>
  <c r="L34" i="7"/>
  <c r="J34" i="7"/>
  <c r="K34" i="7" s="1"/>
  <c r="N75" i="7" a="1"/>
  <c r="N75" i="7" s="1"/>
  <c r="M75" i="7"/>
  <c r="L75" i="7"/>
  <c r="J75" i="7"/>
  <c r="K75" i="7" s="1"/>
  <c r="N11" i="7" a="1"/>
  <c r="N11" i="7" s="1"/>
  <c r="M11" i="7"/>
  <c r="L11" i="7"/>
  <c r="J11" i="7"/>
  <c r="K11" i="7" s="1"/>
  <c r="N54" i="7" a="1"/>
  <c r="N54" i="7" s="1"/>
  <c r="M54" i="7"/>
  <c r="L54" i="7"/>
  <c r="J54" i="7"/>
  <c r="K54" i="7" s="1"/>
  <c r="N98" i="7" a="1"/>
  <c r="N98" i="7" s="1"/>
  <c r="M98" i="7"/>
  <c r="L98" i="7"/>
  <c r="J98" i="7"/>
  <c r="K98" i="7" s="1"/>
  <c r="N29" i="7" a="1"/>
  <c r="N29" i="7" s="1"/>
  <c r="M29" i="7"/>
  <c r="L29" i="7"/>
  <c r="J29" i="7"/>
  <c r="K29" i="7" s="1"/>
  <c r="N77" i="7" a="1"/>
  <c r="N77" i="7" s="1"/>
  <c r="M77" i="7"/>
  <c r="L77" i="7"/>
  <c r="J77" i="7"/>
  <c r="K77" i="7" s="1"/>
  <c r="N14" i="7" a="1"/>
  <c r="N14" i="7" s="1"/>
  <c r="M14" i="7"/>
  <c r="L14" i="7"/>
  <c r="J14" i="7"/>
  <c r="K14" i="7" s="1"/>
  <c r="N89" i="7" a="1"/>
  <c r="N89" i="7" s="1"/>
  <c r="M89" i="7"/>
  <c r="L89" i="7"/>
  <c r="J89" i="7"/>
  <c r="K89" i="7" s="1"/>
  <c r="N67" i="7" a="1"/>
  <c r="N67" i="7" s="1"/>
  <c r="M67" i="7"/>
  <c r="L67" i="7"/>
  <c r="J67" i="7"/>
  <c r="K67" i="7" s="1"/>
  <c r="N42" i="7" a="1"/>
  <c r="N42" i="7" s="1"/>
  <c r="M42" i="7"/>
  <c r="L42" i="7"/>
  <c r="J42" i="7"/>
  <c r="K42" i="7" s="1"/>
  <c r="N101" i="6" a="1"/>
  <c r="N101" i="6" s="1"/>
  <c r="M101" i="6"/>
  <c r="L101" i="6"/>
  <c r="J101" i="6"/>
  <c r="K101" i="6" s="1"/>
  <c r="N100" i="6" a="1"/>
  <c r="N100" i="6" s="1"/>
  <c r="M100" i="6"/>
  <c r="L100" i="6"/>
  <c r="J100" i="6"/>
  <c r="K100" i="6" s="1"/>
  <c r="N99" i="6" a="1"/>
  <c r="N99" i="6" s="1"/>
  <c r="M99" i="6"/>
  <c r="L99" i="6"/>
  <c r="J99" i="6"/>
  <c r="K99" i="6" s="1"/>
  <c r="N98" i="6" a="1"/>
  <c r="N98" i="6" s="1"/>
  <c r="M98" i="6"/>
  <c r="L98" i="6"/>
  <c r="J98" i="6"/>
  <c r="K98" i="6" s="1"/>
  <c r="N97" i="6" a="1"/>
  <c r="N97" i="6" s="1"/>
  <c r="M97" i="6"/>
  <c r="L97" i="6"/>
  <c r="J97" i="6"/>
  <c r="K97" i="6" s="1"/>
  <c r="N96" i="6" a="1"/>
  <c r="N96" i="6" s="1"/>
  <c r="M96" i="6"/>
  <c r="L96" i="6"/>
  <c r="J96" i="6"/>
  <c r="K96" i="6" s="1"/>
  <c r="N95" i="6" a="1"/>
  <c r="N95" i="6" s="1"/>
  <c r="M95" i="6"/>
  <c r="L95" i="6"/>
  <c r="J95" i="6"/>
  <c r="K95" i="6" s="1"/>
  <c r="N94" i="6" a="1"/>
  <c r="N94" i="6" s="1"/>
  <c r="M94" i="6"/>
  <c r="L94" i="6"/>
  <c r="J94" i="6"/>
  <c r="K94" i="6" s="1"/>
  <c r="N93" i="6" a="1"/>
  <c r="N93" i="6" s="1"/>
  <c r="M93" i="6"/>
  <c r="L93" i="6"/>
  <c r="J93" i="6"/>
  <c r="K93" i="6" s="1"/>
  <c r="N92" i="6" a="1"/>
  <c r="N92" i="6" s="1"/>
  <c r="M92" i="6"/>
  <c r="L92" i="6"/>
  <c r="J92" i="6"/>
  <c r="K92" i="6" s="1"/>
  <c r="N91" i="6" a="1"/>
  <c r="N91" i="6" s="1"/>
  <c r="M91" i="6"/>
  <c r="L91" i="6"/>
  <c r="J91" i="6"/>
  <c r="K91" i="6" s="1"/>
  <c r="N90" i="6" a="1"/>
  <c r="N90" i="6" s="1"/>
  <c r="M90" i="6"/>
  <c r="L90" i="6"/>
  <c r="J90" i="6"/>
  <c r="K90" i="6" s="1"/>
  <c r="N89" i="6" a="1"/>
  <c r="N89" i="6" s="1"/>
  <c r="M89" i="6"/>
  <c r="L89" i="6"/>
  <c r="J89" i="6"/>
  <c r="K89" i="6" s="1"/>
  <c r="N88" i="6" a="1"/>
  <c r="N88" i="6" s="1"/>
  <c r="M88" i="6"/>
  <c r="L88" i="6"/>
  <c r="J88" i="6"/>
  <c r="K88" i="6" s="1"/>
  <c r="N87" i="6" a="1"/>
  <c r="N87" i="6" s="1"/>
  <c r="M87" i="6"/>
  <c r="L87" i="6"/>
  <c r="J87" i="6"/>
  <c r="K87" i="6" s="1"/>
  <c r="N86" i="6" a="1"/>
  <c r="N86" i="6" s="1"/>
  <c r="M86" i="6"/>
  <c r="L86" i="6"/>
  <c r="J86" i="6"/>
  <c r="K86" i="6" s="1"/>
  <c r="N85" i="6" a="1"/>
  <c r="N85" i="6" s="1"/>
  <c r="M85" i="6"/>
  <c r="L85" i="6"/>
  <c r="J85" i="6"/>
  <c r="K85" i="6" s="1"/>
  <c r="N84" i="6" a="1"/>
  <c r="N84" i="6" s="1"/>
  <c r="M84" i="6"/>
  <c r="L84" i="6"/>
  <c r="J84" i="6"/>
  <c r="K84" i="6" s="1"/>
  <c r="N83" i="6" a="1"/>
  <c r="N83" i="6" s="1"/>
  <c r="M83" i="6"/>
  <c r="L83" i="6"/>
  <c r="J83" i="6"/>
  <c r="K83" i="6" s="1"/>
  <c r="N82" i="6" a="1"/>
  <c r="N82" i="6" s="1"/>
  <c r="M82" i="6"/>
  <c r="L82" i="6"/>
  <c r="J82" i="6"/>
  <c r="K82" i="6" s="1"/>
  <c r="N81" i="6" a="1"/>
  <c r="N81" i="6" s="1"/>
  <c r="M81" i="6"/>
  <c r="L81" i="6"/>
  <c r="J81" i="6"/>
  <c r="K81" i="6" s="1"/>
  <c r="N80" i="6" a="1"/>
  <c r="N80" i="6" s="1"/>
  <c r="M80" i="6"/>
  <c r="L80" i="6"/>
  <c r="J80" i="6"/>
  <c r="K80" i="6" s="1"/>
  <c r="N79" i="6" a="1"/>
  <c r="N79" i="6" s="1"/>
  <c r="M79" i="6"/>
  <c r="L79" i="6"/>
  <c r="J79" i="6"/>
  <c r="K79" i="6" s="1"/>
  <c r="N78" i="6" a="1"/>
  <c r="N78" i="6" s="1"/>
  <c r="M78" i="6"/>
  <c r="L78" i="6"/>
  <c r="J78" i="6"/>
  <c r="K78" i="6" s="1"/>
  <c r="N77" i="6" a="1"/>
  <c r="N77" i="6" s="1"/>
  <c r="M77" i="6"/>
  <c r="L77" i="6"/>
  <c r="J77" i="6"/>
  <c r="K77" i="6" s="1"/>
  <c r="N76" i="6" a="1"/>
  <c r="N76" i="6" s="1"/>
  <c r="M76" i="6"/>
  <c r="L76" i="6"/>
  <c r="J76" i="6"/>
  <c r="K76" i="6" s="1"/>
  <c r="N75" i="6" a="1"/>
  <c r="N75" i="6" s="1"/>
  <c r="M75" i="6"/>
  <c r="L75" i="6"/>
  <c r="J75" i="6"/>
  <c r="K75" i="6" s="1"/>
  <c r="N74" i="6" a="1"/>
  <c r="N74" i="6" s="1"/>
  <c r="M74" i="6"/>
  <c r="L74" i="6"/>
  <c r="J74" i="6"/>
  <c r="K74" i="6" s="1"/>
  <c r="N73" i="6" a="1"/>
  <c r="N73" i="6" s="1"/>
  <c r="M73" i="6"/>
  <c r="L73" i="6"/>
  <c r="J73" i="6"/>
  <c r="K73" i="6" s="1"/>
  <c r="N72" i="6" a="1"/>
  <c r="N72" i="6" s="1"/>
  <c r="M72" i="6"/>
  <c r="L72" i="6"/>
  <c r="J72" i="6"/>
  <c r="K72" i="6" s="1"/>
  <c r="N71" i="6" a="1"/>
  <c r="N71" i="6" s="1"/>
  <c r="M71" i="6"/>
  <c r="L71" i="6"/>
  <c r="J71" i="6"/>
  <c r="K71" i="6" s="1"/>
  <c r="N70" i="6" a="1"/>
  <c r="N70" i="6" s="1"/>
  <c r="M70" i="6"/>
  <c r="L70" i="6"/>
  <c r="J70" i="6"/>
  <c r="K70" i="6" s="1"/>
  <c r="N69" i="6" a="1"/>
  <c r="N69" i="6" s="1"/>
  <c r="M69" i="6"/>
  <c r="L69" i="6"/>
  <c r="J69" i="6"/>
  <c r="K69" i="6" s="1"/>
  <c r="N68" i="6" a="1"/>
  <c r="N68" i="6" s="1"/>
  <c r="M68" i="6"/>
  <c r="L68" i="6"/>
  <c r="J68" i="6"/>
  <c r="K68" i="6" s="1"/>
  <c r="N67" i="6" a="1"/>
  <c r="N67" i="6" s="1"/>
  <c r="M67" i="6"/>
  <c r="L67" i="6"/>
  <c r="J67" i="6"/>
  <c r="K67" i="6" s="1"/>
  <c r="N66" i="6" a="1"/>
  <c r="N66" i="6" s="1"/>
  <c r="M66" i="6"/>
  <c r="L66" i="6"/>
  <c r="J66" i="6"/>
  <c r="K66" i="6" s="1"/>
  <c r="N65" i="6" a="1"/>
  <c r="N65" i="6" s="1"/>
  <c r="M65" i="6"/>
  <c r="L65" i="6"/>
  <c r="J65" i="6"/>
  <c r="K65" i="6" s="1"/>
  <c r="N64" i="6" a="1"/>
  <c r="N64" i="6" s="1"/>
  <c r="M64" i="6"/>
  <c r="L64" i="6"/>
  <c r="J64" i="6"/>
  <c r="K64" i="6" s="1"/>
  <c r="N63" i="6" a="1"/>
  <c r="N63" i="6" s="1"/>
  <c r="M63" i="6"/>
  <c r="L63" i="6"/>
  <c r="J63" i="6"/>
  <c r="K63" i="6" s="1"/>
  <c r="N62" i="6" a="1"/>
  <c r="N62" i="6" s="1"/>
  <c r="M62" i="6"/>
  <c r="L62" i="6"/>
  <c r="J62" i="6"/>
  <c r="K62" i="6" s="1"/>
  <c r="N61" i="6" a="1"/>
  <c r="N61" i="6" s="1"/>
  <c r="M61" i="6"/>
  <c r="L61" i="6"/>
  <c r="J61" i="6"/>
  <c r="K61" i="6" s="1"/>
  <c r="N60" i="6" a="1"/>
  <c r="N60" i="6" s="1"/>
  <c r="M60" i="6"/>
  <c r="L60" i="6"/>
  <c r="J60" i="6"/>
  <c r="K60" i="6" s="1"/>
  <c r="N59" i="6" a="1"/>
  <c r="N59" i="6" s="1"/>
  <c r="M59" i="6"/>
  <c r="L59" i="6"/>
  <c r="J59" i="6"/>
  <c r="K59" i="6" s="1"/>
  <c r="N58" i="6" a="1"/>
  <c r="N58" i="6" s="1"/>
  <c r="M58" i="6"/>
  <c r="L58" i="6"/>
  <c r="J58" i="6"/>
  <c r="K58" i="6" s="1"/>
  <c r="N57" i="6" a="1"/>
  <c r="N57" i="6" s="1"/>
  <c r="M57" i="6"/>
  <c r="L57" i="6"/>
  <c r="J57" i="6"/>
  <c r="K57" i="6" s="1"/>
  <c r="N56" i="6" a="1"/>
  <c r="N56" i="6" s="1"/>
  <c r="M56" i="6"/>
  <c r="L56" i="6"/>
  <c r="J56" i="6"/>
  <c r="K56" i="6" s="1"/>
  <c r="N55" i="6" a="1"/>
  <c r="N55" i="6" s="1"/>
  <c r="M55" i="6"/>
  <c r="L55" i="6"/>
  <c r="J55" i="6"/>
  <c r="K55" i="6" s="1"/>
  <c r="N54" i="6" a="1"/>
  <c r="N54" i="6" s="1"/>
  <c r="M54" i="6"/>
  <c r="L54" i="6"/>
  <c r="J54" i="6"/>
  <c r="K54" i="6" s="1"/>
  <c r="N53" i="6" a="1"/>
  <c r="N53" i="6" s="1"/>
  <c r="M53" i="6"/>
  <c r="L53" i="6"/>
  <c r="J53" i="6"/>
  <c r="K53" i="6" s="1"/>
  <c r="N52" i="6" a="1"/>
  <c r="N52" i="6" s="1"/>
  <c r="M52" i="6"/>
  <c r="L52" i="6"/>
  <c r="J52" i="6"/>
  <c r="K52" i="6" s="1"/>
  <c r="N51" i="6" a="1"/>
  <c r="N51" i="6" s="1"/>
  <c r="M51" i="6"/>
  <c r="L51" i="6"/>
  <c r="J51" i="6"/>
  <c r="K51" i="6" s="1"/>
  <c r="N50" i="6" a="1"/>
  <c r="N50" i="6" s="1"/>
  <c r="M50" i="6"/>
  <c r="L50" i="6"/>
  <c r="J50" i="6"/>
  <c r="K50" i="6" s="1"/>
  <c r="N49" i="6" a="1"/>
  <c r="N49" i="6" s="1"/>
  <c r="M49" i="6"/>
  <c r="L49" i="6"/>
  <c r="J49" i="6"/>
  <c r="K49" i="6" s="1"/>
  <c r="N48" i="6" a="1"/>
  <c r="N48" i="6" s="1"/>
  <c r="M48" i="6"/>
  <c r="L48" i="6"/>
  <c r="J48" i="6"/>
  <c r="K48" i="6" s="1"/>
  <c r="N47" i="6" a="1"/>
  <c r="N47" i="6" s="1"/>
  <c r="M47" i="6"/>
  <c r="L47" i="6"/>
  <c r="J47" i="6"/>
  <c r="K47" i="6" s="1"/>
  <c r="N46" i="6" a="1"/>
  <c r="N46" i="6" s="1"/>
  <c r="M46" i="6"/>
  <c r="L46" i="6"/>
  <c r="J46" i="6"/>
  <c r="K46" i="6" s="1"/>
  <c r="N45" i="6" a="1"/>
  <c r="N45" i="6" s="1"/>
  <c r="M45" i="6"/>
  <c r="L45" i="6"/>
  <c r="J45" i="6"/>
  <c r="K45" i="6" s="1"/>
  <c r="N44" i="6" a="1"/>
  <c r="N44" i="6" s="1"/>
  <c r="M44" i="6"/>
  <c r="L44" i="6"/>
  <c r="J44" i="6"/>
  <c r="K44" i="6" s="1"/>
  <c r="N43" i="6" a="1"/>
  <c r="N43" i="6" s="1"/>
  <c r="M43" i="6"/>
  <c r="L43" i="6"/>
  <c r="J43" i="6"/>
  <c r="K43" i="6" s="1"/>
  <c r="N42" i="6" a="1"/>
  <c r="N42" i="6" s="1"/>
  <c r="M42" i="6"/>
  <c r="L42" i="6"/>
  <c r="J42" i="6"/>
  <c r="K42" i="6" s="1"/>
  <c r="N41" i="6" a="1"/>
  <c r="N41" i="6" s="1"/>
  <c r="M41" i="6"/>
  <c r="L41" i="6"/>
  <c r="J41" i="6"/>
  <c r="K41" i="6" s="1"/>
  <c r="N40" i="6" a="1"/>
  <c r="N40" i="6" s="1"/>
  <c r="M40" i="6"/>
  <c r="L40" i="6"/>
  <c r="J40" i="6"/>
  <c r="K40" i="6" s="1"/>
  <c r="N39" i="6" a="1"/>
  <c r="N39" i="6" s="1"/>
  <c r="M39" i="6"/>
  <c r="L39" i="6"/>
  <c r="J39" i="6"/>
  <c r="K39" i="6" s="1"/>
  <c r="N38" i="6" a="1"/>
  <c r="N38" i="6" s="1"/>
  <c r="M38" i="6"/>
  <c r="L38" i="6"/>
  <c r="J38" i="6"/>
  <c r="K38" i="6" s="1"/>
  <c r="N37" i="6" a="1"/>
  <c r="N37" i="6" s="1"/>
  <c r="M37" i="6"/>
  <c r="L37" i="6"/>
  <c r="J37" i="6"/>
  <c r="K37" i="6" s="1"/>
  <c r="N36" i="6" a="1"/>
  <c r="N36" i="6" s="1"/>
  <c r="M36" i="6"/>
  <c r="L36" i="6"/>
  <c r="J36" i="6"/>
  <c r="K36" i="6" s="1"/>
  <c r="N35" i="6" a="1"/>
  <c r="N35" i="6" s="1"/>
  <c r="M35" i="6"/>
  <c r="L35" i="6"/>
  <c r="J35" i="6"/>
  <c r="K35" i="6" s="1"/>
  <c r="N34" i="6" a="1"/>
  <c r="N34" i="6" s="1"/>
  <c r="M34" i="6"/>
  <c r="L34" i="6"/>
  <c r="J34" i="6"/>
  <c r="K34" i="6" s="1"/>
  <c r="N33" i="6" a="1"/>
  <c r="N33" i="6" s="1"/>
  <c r="M33" i="6"/>
  <c r="L33" i="6"/>
  <c r="J33" i="6"/>
  <c r="K33" i="6" s="1"/>
  <c r="N32" i="6" a="1"/>
  <c r="N32" i="6" s="1"/>
  <c r="M32" i="6"/>
  <c r="L32" i="6"/>
  <c r="J32" i="6"/>
  <c r="K32" i="6" s="1"/>
  <c r="N31" i="6" a="1"/>
  <c r="N31" i="6" s="1"/>
  <c r="M31" i="6"/>
  <c r="L31" i="6"/>
  <c r="J31" i="6"/>
  <c r="K31" i="6" s="1"/>
  <c r="N30" i="6" a="1"/>
  <c r="N30" i="6" s="1"/>
  <c r="M30" i="6"/>
  <c r="L30" i="6"/>
  <c r="J30" i="6"/>
  <c r="K30" i="6" s="1"/>
  <c r="N29" i="6" a="1"/>
  <c r="N29" i="6" s="1"/>
  <c r="M29" i="6"/>
  <c r="L29" i="6"/>
  <c r="J29" i="6"/>
  <c r="K29" i="6" s="1"/>
  <c r="N28" i="6" a="1"/>
  <c r="N28" i="6" s="1"/>
  <c r="M28" i="6"/>
  <c r="L28" i="6"/>
  <c r="J28" i="6"/>
  <c r="K28" i="6" s="1"/>
  <c r="N27" i="6" a="1"/>
  <c r="N27" i="6" s="1"/>
  <c r="M27" i="6"/>
  <c r="L27" i="6"/>
  <c r="J27" i="6"/>
  <c r="K27" i="6" s="1"/>
  <c r="N26" i="6" a="1"/>
  <c r="N26" i="6" s="1"/>
  <c r="M26" i="6"/>
  <c r="L26" i="6"/>
  <c r="J26" i="6"/>
  <c r="K26" i="6" s="1"/>
  <c r="N25" i="6" a="1"/>
  <c r="N25" i="6" s="1"/>
  <c r="M25" i="6"/>
  <c r="L25" i="6"/>
  <c r="J25" i="6"/>
  <c r="K25" i="6" s="1"/>
  <c r="N24" i="6" a="1"/>
  <c r="N24" i="6" s="1"/>
  <c r="M24" i="6"/>
  <c r="L24" i="6"/>
  <c r="J24" i="6"/>
  <c r="K24" i="6" s="1"/>
  <c r="N23" i="6" a="1"/>
  <c r="N23" i="6" s="1"/>
  <c r="M23" i="6"/>
  <c r="L23" i="6"/>
  <c r="J23" i="6"/>
  <c r="K23" i="6" s="1"/>
  <c r="N22" i="6" a="1"/>
  <c r="N22" i="6" s="1"/>
  <c r="M22" i="6"/>
  <c r="L22" i="6"/>
  <c r="J22" i="6"/>
  <c r="K22" i="6" s="1"/>
  <c r="N21" i="6" a="1"/>
  <c r="N21" i="6" s="1"/>
  <c r="M21" i="6"/>
  <c r="L21" i="6"/>
  <c r="J21" i="6"/>
  <c r="K21" i="6" s="1"/>
  <c r="N20" i="6" a="1"/>
  <c r="N20" i="6" s="1"/>
  <c r="M20" i="6"/>
  <c r="L20" i="6"/>
  <c r="J20" i="6"/>
  <c r="K20" i="6" s="1"/>
  <c r="N19" i="6" a="1"/>
  <c r="N19" i="6" s="1"/>
  <c r="M19" i="6"/>
  <c r="L19" i="6"/>
  <c r="J19" i="6"/>
  <c r="K19" i="6" s="1"/>
  <c r="N18" i="6" a="1"/>
  <c r="N18" i="6" s="1"/>
  <c r="M18" i="6"/>
  <c r="L18" i="6"/>
  <c r="J18" i="6"/>
  <c r="K18" i="6" s="1"/>
  <c r="N17" i="6" a="1"/>
  <c r="N17" i="6" s="1"/>
  <c r="M17" i="6"/>
  <c r="L17" i="6"/>
  <c r="J17" i="6"/>
  <c r="K17" i="6" s="1"/>
  <c r="N16" i="6" a="1"/>
  <c r="N16" i="6" s="1"/>
  <c r="M16" i="6"/>
  <c r="L16" i="6"/>
  <c r="J16" i="6"/>
  <c r="K16" i="6" s="1"/>
  <c r="N15" i="6" a="1"/>
  <c r="N15" i="6" s="1"/>
  <c r="M15" i="6"/>
  <c r="L15" i="6"/>
  <c r="J15" i="6"/>
  <c r="K15" i="6" s="1"/>
  <c r="N14" i="6" a="1"/>
  <c r="N14" i="6" s="1"/>
  <c r="M14" i="6"/>
  <c r="L14" i="6"/>
  <c r="J14" i="6"/>
  <c r="K14" i="6" s="1"/>
  <c r="N13" i="6" a="1"/>
  <c r="N13" i="6" s="1"/>
  <c r="M13" i="6"/>
  <c r="L13" i="6"/>
  <c r="J13" i="6"/>
  <c r="K13" i="6" s="1"/>
  <c r="N12" i="6" a="1"/>
  <c r="N12" i="6" s="1"/>
  <c r="M12" i="6"/>
  <c r="L12" i="6"/>
  <c r="J12" i="6"/>
  <c r="K12" i="6" s="1"/>
  <c r="N11" i="6" a="1"/>
  <c r="N11" i="6" s="1"/>
  <c r="M11" i="6"/>
  <c r="L11" i="6"/>
  <c r="J11" i="6"/>
  <c r="K11" i="6" s="1"/>
  <c r="N10" i="6" a="1"/>
  <c r="N10" i="6" s="1"/>
  <c r="M10" i="6"/>
  <c r="L10" i="6"/>
  <c r="J10" i="6"/>
  <c r="K10" i="6" s="1"/>
  <c r="N9" i="6" a="1"/>
  <c r="N9" i="6" s="1"/>
  <c r="M9" i="6"/>
  <c r="L9" i="6"/>
  <c r="J9" i="6"/>
  <c r="K9" i="6" s="1"/>
  <c r="N8" i="6" a="1"/>
  <c r="N8" i="6" s="1"/>
  <c r="M8" i="6"/>
  <c r="L8" i="6"/>
  <c r="J8" i="6"/>
  <c r="K8" i="6" s="1"/>
  <c r="N7" i="6" a="1"/>
  <c r="N7" i="6" s="1"/>
  <c r="M7" i="6"/>
  <c r="L7" i="6"/>
  <c r="J7" i="6"/>
  <c r="K7" i="6" s="1"/>
  <c r="N6" i="6" a="1"/>
  <c r="N6" i="6" s="1"/>
  <c r="M6" i="6"/>
  <c r="L6" i="6"/>
  <c r="J6" i="6"/>
  <c r="K6" i="6" s="1"/>
  <c r="N5" i="6" a="1"/>
  <c r="N5" i="6" s="1"/>
  <c r="M5" i="6"/>
  <c r="L5" i="6"/>
  <c r="J5" i="6"/>
  <c r="K5" i="6" s="1"/>
  <c r="N4" i="6" a="1"/>
  <c r="N4" i="6" s="1"/>
  <c r="M4" i="6"/>
  <c r="L4" i="6"/>
  <c r="J4" i="6"/>
  <c r="K4" i="6" s="1"/>
  <c r="N3" i="6" a="1"/>
  <c r="N3" i="6" s="1"/>
  <c r="M3" i="6"/>
  <c r="L3" i="6"/>
  <c r="J3" i="6"/>
  <c r="K3" i="6" s="1"/>
  <c r="N2" i="6" a="1"/>
  <c r="N2" i="6" s="1"/>
  <c r="M2" i="6"/>
  <c r="L2" i="6"/>
  <c r="J2" i="6"/>
  <c r="K2" i="6" s="1"/>
  <c r="K3" i="5" a="1"/>
  <c r="K3" i="5"/>
  <c r="K4" i="5" a="1"/>
  <c r="K4" i="5"/>
  <c r="K5" i="5" a="1"/>
  <c r="K5" i="5"/>
  <c r="K6" i="5" a="1"/>
  <c r="K6" i="5"/>
  <c r="K7" i="5" a="1"/>
  <c r="K7" i="5"/>
  <c r="K8" i="5" a="1"/>
  <c r="K8" i="5"/>
  <c r="K9" i="5" a="1"/>
  <c r="K9" i="5"/>
  <c r="K10" i="5" a="1"/>
  <c r="K10" i="5"/>
  <c r="K11" i="5" a="1"/>
  <c r="K11" i="5"/>
  <c r="K12" i="5" a="1"/>
  <c r="K12" i="5"/>
  <c r="K13" i="5" a="1"/>
  <c r="K13" i="5"/>
  <c r="K14" i="5" a="1"/>
  <c r="K14" i="5"/>
  <c r="K15" i="5" a="1"/>
  <c r="K15" i="5"/>
  <c r="K16" i="5" a="1"/>
  <c r="K16" i="5"/>
  <c r="K17" i="5" a="1"/>
  <c r="K17" i="5"/>
  <c r="K18" i="5" a="1"/>
  <c r="K18" i="5"/>
  <c r="K19" i="5" a="1"/>
  <c r="K19" i="5"/>
  <c r="K20" i="5" a="1"/>
  <c r="K20" i="5"/>
  <c r="K21" i="5" a="1"/>
  <c r="K21" i="5"/>
  <c r="K22" i="5" a="1"/>
  <c r="K22" i="5"/>
  <c r="K23" i="5" a="1"/>
  <c r="K23" i="5"/>
  <c r="K24" i="5" a="1"/>
  <c r="K24" i="5"/>
  <c r="K25" i="5" a="1"/>
  <c r="K25" i="5"/>
  <c r="K26" i="5" a="1"/>
  <c r="K26" i="5"/>
  <c r="K27" i="5" a="1"/>
  <c r="K27" i="5"/>
  <c r="K28" i="5" a="1"/>
  <c r="K28" i="5"/>
  <c r="K29" i="5" a="1"/>
  <c r="K29" i="5"/>
  <c r="K30" i="5" a="1"/>
  <c r="K30" i="5"/>
  <c r="K31" i="5" a="1"/>
  <c r="K31" i="5"/>
  <c r="K32" i="5" a="1"/>
  <c r="K32" i="5"/>
  <c r="K33" i="5" a="1"/>
  <c r="K33" i="5"/>
  <c r="K34" i="5" a="1"/>
  <c r="K34" i="5"/>
  <c r="K35" i="5" a="1"/>
  <c r="K35" i="5"/>
  <c r="K36" i="5" a="1"/>
  <c r="K36" i="5"/>
  <c r="K37" i="5" a="1"/>
  <c r="K37" i="5"/>
  <c r="K38" i="5" a="1"/>
  <c r="K38" i="5"/>
  <c r="K39" i="5" a="1"/>
  <c r="K39" i="5"/>
  <c r="K40" i="5" a="1"/>
  <c r="K40" i="5"/>
  <c r="K41" i="5" a="1"/>
  <c r="K41" i="5"/>
  <c r="K42" i="5" a="1"/>
  <c r="K42" i="5"/>
  <c r="K43" i="5" a="1"/>
  <c r="K43" i="5"/>
  <c r="K44" i="5" a="1"/>
  <c r="K44" i="5"/>
  <c r="K45" i="5" a="1"/>
  <c r="K45" i="5"/>
  <c r="K46" i="5" a="1"/>
  <c r="K46" i="5"/>
  <c r="K47" i="5" a="1"/>
  <c r="K47" i="5"/>
  <c r="K48" i="5" a="1"/>
  <c r="K48" i="5"/>
  <c r="K49" i="5" a="1"/>
  <c r="K49" i="5"/>
  <c r="K50" i="5" a="1"/>
  <c r="K50" i="5"/>
  <c r="K51" i="5" a="1"/>
  <c r="K51" i="5"/>
  <c r="K52" i="5" a="1"/>
  <c r="K52" i="5"/>
  <c r="K53" i="5" a="1"/>
  <c r="K53" i="5"/>
  <c r="K54" i="5" a="1"/>
  <c r="K54" i="5"/>
  <c r="K55" i="5" a="1"/>
  <c r="K55" i="5"/>
  <c r="K56" i="5" a="1"/>
  <c r="K56" i="5"/>
  <c r="K57" i="5" a="1"/>
  <c r="K57" i="5"/>
  <c r="K58" i="5" a="1"/>
  <c r="K58" i="5"/>
  <c r="K59" i="5" a="1"/>
  <c r="K59" i="5"/>
  <c r="K60" i="5" a="1"/>
  <c r="K60" i="5"/>
  <c r="K61" i="5" a="1"/>
  <c r="K61" i="5"/>
  <c r="K62" i="5" a="1"/>
  <c r="K62" i="5"/>
  <c r="K63" i="5" a="1"/>
  <c r="K63" i="5"/>
  <c r="K64" i="5" a="1"/>
  <c r="K64" i="5"/>
  <c r="K65" i="5" a="1"/>
  <c r="K65" i="5"/>
  <c r="K66" i="5" a="1"/>
  <c r="K66" i="5"/>
  <c r="K67" i="5" a="1"/>
  <c r="K67" i="5"/>
  <c r="K68" i="5" a="1"/>
  <c r="K68" i="5"/>
  <c r="K69" i="5" a="1"/>
  <c r="K69" i="5"/>
  <c r="K70" i="5" a="1"/>
  <c r="K70" i="5"/>
  <c r="K71" i="5" a="1"/>
  <c r="K71" i="5"/>
  <c r="K72" i="5" a="1"/>
  <c r="K72" i="5"/>
  <c r="K73" i="5" a="1"/>
  <c r="K73" i="5"/>
  <c r="K74" i="5" a="1"/>
  <c r="K74" i="5"/>
  <c r="K75" i="5" a="1"/>
  <c r="K75" i="5"/>
  <c r="K76" i="5" a="1"/>
  <c r="K76" i="5"/>
  <c r="K77" i="5" a="1"/>
  <c r="K77" i="5"/>
  <c r="K78" i="5" a="1"/>
  <c r="K78" i="5"/>
  <c r="K79" i="5" a="1"/>
  <c r="K79" i="5"/>
  <c r="K80" i="5" a="1"/>
  <c r="K80" i="5"/>
  <c r="K81" i="5" a="1"/>
  <c r="K81" i="5"/>
  <c r="K82" i="5" a="1"/>
  <c r="K82" i="5"/>
  <c r="K83" i="5" a="1"/>
  <c r="K83" i="5"/>
  <c r="K84" i="5" a="1"/>
  <c r="K84" i="5"/>
  <c r="K85" i="5" a="1"/>
  <c r="K85" i="5"/>
  <c r="K86" i="5" a="1"/>
  <c r="K86" i="5"/>
  <c r="K87" i="5" a="1"/>
  <c r="K87" i="5"/>
  <c r="K88" i="5" a="1"/>
  <c r="K88" i="5"/>
  <c r="K89" i="5" a="1"/>
  <c r="K89" i="5"/>
  <c r="K90" i="5" a="1"/>
  <c r="K90" i="5"/>
  <c r="K91" i="5" a="1"/>
  <c r="K91" i="5"/>
  <c r="K92" i="5" a="1"/>
  <c r="K92" i="5"/>
  <c r="K93" i="5" a="1"/>
  <c r="K93" i="5"/>
  <c r="K94" i="5" a="1"/>
  <c r="K94" i="5"/>
  <c r="K95" i="5" a="1"/>
  <c r="K95" i="5"/>
  <c r="K96" i="5" a="1"/>
  <c r="K96" i="5"/>
  <c r="K97" i="5" a="1"/>
  <c r="K97" i="5"/>
  <c r="K98" i="5" a="1"/>
  <c r="K98" i="5"/>
  <c r="K99" i="5" a="1"/>
  <c r="K99" i="5"/>
  <c r="K100" i="5" a="1"/>
  <c r="K100" i="5"/>
  <c r="K101" i="5" a="1"/>
  <c r="K101" i="5"/>
  <c r="K2" i="5" a="1"/>
  <c r="K2" i="5"/>
  <c r="N2" i="4" a="1"/>
  <c r="N2" i="4"/>
  <c r="J101" i="5"/>
  <c r="H101" i="5"/>
  <c r="I101" i="5" s="1"/>
  <c r="J100" i="5"/>
  <c r="H100" i="5"/>
  <c r="I100" i="5" s="1"/>
  <c r="J99" i="5"/>
  <c r="H99" i="5"/>
  <c r="I99" i="5" s="1"/>
  <c r="J98" i="5"/>
  <c r="H98" i="5"/>
  <c r="I98" i="5" s="1"/>
  <c r="J97" i="5"/>
  <c r="H97" i="5"/>
  <c r="I97" i="5" s="1"/>
  <c r="J96" i="5"/>
  <c r="H96" i="5"/>
  <c r="I96" i="5" s="1"/>
  <c r="J95" i="5"/>
  <c r="H95" i="5"/>
  <c r="I95" i="5" s="1"/>
  <c r="J94" i="5"/>
  <c r="H94" i="5"/>
  <c r="I94" i="5" s="1"/>
  <c r="J93" i="5"/>
  <c r="H93" i="5"/>
  <c r="I93" i="5" s="1"/>
  <c r="J92" i="5"/>
  <c r="H92" i="5"/>
  <c r="I92" i="5" s="1"/>
  <c r="J91" i="5"/>
  <c r="H91" i="5"/>
  <c r="I91" i="5" s="1"/>
  <c r="J90" i="5"/>
  <c r="H90" i="5"/>
  <c r="I90" i="5" s="1"/>
  <c r="J89" i="5"/>
  <c r="H89" i="5"/>
  <c r="I89" i="5" s="1"/>
  <c r="J88" i="5"/>
  <c r="H88" i="5"/>
  <c r="I88" i="5" s="1"/>
  <c r="J87" i="5"/>
  <c r="H87" i="5"/>
  <c r="I87" i="5" s="1"/>
  <c r="J86" i="5"/>
  <c r="H86" i="5"/>
  <c r="I86" i="5" s="1"/>
  <c r="J85" i="5"/>
  <c r="H85" i="5"/>
  <c r="I85" i="5" s="1"/>
  <c r="J84" i="5"/>
  <c r="H84" i="5"/>
  <c r="I84" i="5" s="1"/>
  <c r="J83" i="5"/>
  <c r="H83" i="5"/>
  <c r="I83" i="5" s="1"/>
  <c r="J82" i="5"/>
  <c r="H82" i="5"/>
  <c r="I82" i="5" s="1"/>
  <c r="J81" i="5"/>
  <c r="H81" i="5"/>
  <c r="I81" i="5" s="1"/>
  <c r="J80" i="5"/>
  <c r="H80" i="5"/>
  <c r="I80" i="5" s="1"/>
  <c r="J79" i="5"/>
  <c r="H79" i="5"/>
  <c r="I79" i="5" s="1"/>
  <c r="J78" i="5"/>
  <c r="H78" i="5"/>
  <c r="I78" i="5" s="1"/>
  <c r="J77" i="5"/>
  <c r="H77" i="5"/>
  <c r="I77" i="5" s="1"/>
  <c r="J76" i="5"/>
  <c r="H76" i="5"/>
  <c r="I76" i="5" s="1"/>
  <c r="J75" i="5"/>
  <c r="H75" i="5"/>
  <c r="I75" i="5" s="1"/>
  <c r="J74" i="5"/>
  <c r="H74" i="5"/>
  <c r="I74" i="5" s="1"/>
  <c r="J73" i="5"/>
  <c r="H73" i="5"/>
  <c r="I73" i="5" s="1"/>
  <c r="J72" i="5"/>
  <c r="H72" i="5"/>
  <c r="I72" i="5" s="1"/>
  <c r="J71" i="5"/>
  <c r="H71" i="5"/>
  <c r="I71" i="5" s="1"/>
  <c r="J70" i="5"/>
  <c r="H70" i="5"/>
  <c r="I70" i="5" s="1"/>
  <c r="J69" i="5"/>
  <c r="H69" i="5"/>
  <c r="I69" i="5" s="1"/>
  <c r="J68" i="5"/>
  <c r="H68" i="5"/>
  <c r="I68" i="5" s="1"/>
  <c r="J67" i="5"/>
  <c r="H67" i="5"/>
  <c r="I67" i="5" s="1"/>
  <c r="J66" i="5"/>
  <c r="H66" i="5"/>
  <c r="I66" i="5" s="1"/>
  <c r="J65" i="5"/>
  <c r="H65" i="5"/>
  <c r="I65" i="5" s="1"/>
  <c r="J64" i="5"/>
  <c r="H64" i="5"/>
  <c r="I64" i="5" s="1"/>
  <c r="J63" i="5"/>
  <c r="H63" i="5"/>
  <c r="I63" i="5" s="1"/>
  <c r="J62" i="5"/>
  <c r="H62" i="5"/>
  <c r="I62" i="5" s="1"/>
  <c r="J61" i="5"/>
  <c r="H61" i="5"/>
  <c r="I61" i="5" s="1"/>
  <c r="J60" i="5"/>
  <c r="H60" i="5"/>
  <c r="I60" i="5" s="1"/>
  <c r="J59" i="5"/>
  <c r="H59" i="5"/>
  <c r="I59" i="5" s="1"/>
  <c r="J58" i="5"/>
  <c r="H58" i="5"/>
  <c r="I58" i="5" s="1"/>
  <c r="J57" i="5"/>
  <c r="H57" i="5"/>
  <c r="I57" i="5" s="1"/>
  <c r="J56" i="5"/>
  <c r="H56" i="5"/>
  <c r="I56" i="5" s="1"/>
  <c r="J55" i="5"/>
  <c r="H55" i="5"/>
  <c r="I55" i="5" s="1"/>
  <c r="J54" i="5"/>
  <c r="H54" i="5"/>
  <c r="I54" i="5" s="1"/>
  <c r="J53" i="5"/>
  <c r="H53" i="5"/>
  <c r="I53" i="5" s="1"/>
  <c r="J52" i="5"/>
  <c r="H52" i="5"/>
  <c r="I52" i="5" s="1"/>
  <c r="J51" i="5"/>
  <c r="H51" i="5"/>
  <c r="I51" i="5" s="1"/>
  <c r="J50" i="5"/>
  <c r="H50" i="5"/>
  <c r="I50" i="5" s="1"/>
  <c r="J49" i="5"/>
  <c r="H49" i="5"/>
  <c r="I49" i="5" s="1"/>
  <c r="J48" i="5"/>
  <c r="H48" i="5"/>
  <c r="I48" i="5" s="1"/>
  <c r="J47" i="5"/>
  <c r="H47" i="5"/>
  <c r="I47" i="5" s="1"/>
  <c r="J46" i="5"/>
  <c r="H46" i="5"/>
  <c r="I46" i="5" s="1"/>
  <c r="J45" i="5"/>
  <c r="H45" i="5"/>
  <c r="I45" i="5" s="1"/>
  <c r="J44" i="5"/>
  <c r="H44" i="5"/>
  <c r="I44" i="5" s="1"/>
  <c r="J43" i="5"/>
  <c r="H43" i="5"/>
  <c r="I43" i="5" s="1"/>
  <c r="J42" i="5"/>
  <c r="H42" i="5"/>
  <c r="I42" i="5" s="1"/>
  <c r="J41" i="5"/>
  <c r="H41" i="5"/>
  <c r="I41" i="5" s="1"/>
  <c r="J40" i="5"/>
  <c r="H40" i="5"/>
  <c r="I40" i="5" s="1"/>
  <c r="J39" i="5"/>
  <c r="H39" i="5"/>
  <c r="I39" i="5" s="1"/>
  <c r="J38" i="5"/>
  <c r="H38" i="5"/>
  <c r="I38" i="5" s="1"/>
  <c r="J37" i="5"/>
  <c r="H37" i="5"/>
  <c r="I37" i="5" s="1"/>
  <c r="J36" i="5"/>
  <c r="H36" i="5"/>
  <c r="I36" i="5" s="1"/>
  <c r="J35" i="5"/>
  <c r="H35" i="5"/>
  <c r="I35" i="5" s="1"/>
  <c r="J34" i="5"/>
  <c r="H34" i="5"/>
  <c r="I34" i="5" s="1"/>
  <c r="J33" i="5"/>
  <c r="H33" i="5"/>
  <c r="I33" i="5" s="1"/>
  <c r="J32" i="5"/>
  <c r="H32" i="5"/>
  <c r="I32" i="5" s="1"/>
  <c r="J31" i="5"/>
  <c r="H31" i="5"/>
  <c r="I31" i="5" s="1"/>
  <c r="J30" i="5"/>
  <c r="H30" i="5"/>
  <c r="I30" i="5" s="1"/>
  <c r="J29" i="5"/>
  <c r="H29" i="5"/>
  <c r="I29" i="5" s="1"/>
  <c r="J28" i="5"/>
  <c r="H28" i="5"/>
  <c r="I28" i="5" s="1"/>
  <c r="J27" i="5"/>
  <c r="H27" i="5"/>
  <c r="I27" i="5" s="1"/>
  <c r="J26" i="5"/>
  <c r="H26" i="5"/>
  <c r="I26" i="5" s="1"/>
  <c r="J25" i="5"/>
  <c r="H25" i="5"/>
  <c r="I25" i="5" s="1"/>
  <c r="J24" i="5"/>
  <c r="H24" i="5"/>
  <c r="I24" i="5" s="1"/>
  <c r="J23" i="5"/>
  <c r="H23" i="5"/>
  <c r="I23" i="5" s="1"/>
  <c r="J22" i="5"/>
  <c r="H22" i="5"/>
  <c r="I22" i="5" s="1"/>
  <c r="J21" i="5"/>
  <c r="H21" i="5"/>
  <c r="I21" i="5" s="1"/>
  <c r="J20" i="5"/>
  <c r="H20" i="5"/>
  <c r="I20" i="5" s="1"/>
  <c r="J19" i="5"/>
  <c r="H19" i="5"/>
  <c r="I19" i="5" s="1"/>
  <c r="J18" i="5"/>
  <c r="H18" i="5"/>
  <c r="I18" i="5" s="1"/>
  <c r="J17" i="5"/>
  <c r="H17" i="5"/>
  <c r="I17" i="5" s="1"/>
  <c r="J16" i="5"/>
  <c r="H16" i="5"/>
  <c r="I16" i="5" s="1"/>
  <c r="J15" i="5"/>
  <c r="H15" i="5"/>
  <c r="I15" i="5" s="1"/>
  <c r="J14" i="5"/>
  <c r="H14" i="5"/>
  <c r="I14" i="5" s="1"/>
  <c r="J13" i="5"/>
  <c r="H13" i="5"/>
  <c r="I13" i="5" s="1"/>
  <c r="J12" i="5"/>
  <c r="H12" i="5"/>
  <c r="I12" i="5" s="1"/>
  <c r="J11" i="5"/>
  <c r="H11" i="5"/>
  <c r="I11" i="5" s="1"/>
  <c r="J10" i="5"/>
  <c r="H10" i="5"/>
  <c r="I10" i="5" s="1"/>
  <c r="J9" i="5"/>
  <c r="H9" i="5"/>
  <c r="I9" i="5" s="1"/>
  <c r="J8" i="5"/>
  <c r="H8" i="5"/>
  <c r="I8" i="5" s="1"/>
  <c r="J7" i="5"/>
  <c r="H7" i="5"/>
  <c r="I7" i="5" s="1"/>
  <c r="J6" i="5"/>
  <c r="H6" i="5"/>
  <c r="I6" i="5" s="1"/>
  <c r="J5" i="5"/>
  <c r="H5" i="5"/>
  <c r="I5" i="5" s="1"/>
  <c r="J4" i="5"/>
  <c r="H4" i="5"/>
  <c r="I4" i="5" s="1"/>
  <c r="J3" i="5"/>
  <c r="H3" i="5"/>
  <c r="I3" i="5" s="1"/>
  <c r="J2" i="5"/>
  <c r="H2" i="5"/>
  <c r="I2" i="5" s="1"/>
  <c r="N3" i="4" a="1"/>
  <c r="N3" i="4"/>
  <c r="N4" i="4" a="1"/>
  <c r="N4" i="4"/>
  <c r="N5" i="4" a="1"/>
  <c r="N5" i="4"/>
  <c r="N6" i="4" a="1"/>
  <c r="N6" i="4"/>
  <c r="N7" i="4" a="1"/>
  <c r="N7" i="4"/>
  <c r="N8" i="4" a="1"/>
  <c r="N8" i="4"/>
  <c r="N9" i="4" a="1"/>
  <c r="N9" i="4"/>
  <c r="N10" i="4" a="1"/>
  <c r="N10" i="4"/>
  <c r="N11" i="4" a="1"/>
  <c r="N11" i="4"/>
  <c r="N12" i="4" a="1"/>
  <c r="N12" i="4"/>
  <c r="N13" i="4" a="1"/>
  <c r="N13" i="4"/>
  <c r="N14" i="4" a="1"/>
  <c r="N14" i="4"/>
  <c r="N15" i="4" a="1"/>
  <c r="N15" i="4"/>
  <c r="N16" i="4" a="1"/>
  <c r="N16" i="4"/>
  <c r="N17" i="4" a="1"/>
  <c r="N17" i="4"/>
  <c r="N18" i="4" a="1"/>
  <c r="N18" i="4"/>
  <c r="N19" i="4" a="1"/>
  <c r="N19" i="4"/>
  <c r="N20" i="4" a="1"/>
  <c r="N20" i="4"/>
  <c r="N21" i="4" a="1"/>
  <c r="N21" i="4"/>
  <c r="N22" i="4" a="1"/>
  <c r="N22" i="4"/>
  <c r="N23" i="4" a="1"/>
  <c r="N23" i="4"/>
  <c r="N24" i="4" a="1"/>
  <c r="N24" i="4"/>
  <c r="N25" i="4" a="1"/>
  <c r="N25" i="4"/>
  <c r="N26" i="4" a="1"/>
  <c r="N26" i="4"/>
  <c r="N27" i="4" a="1"/>
  <c r="N27" i="4"/>
  <c r="N28" i="4" a="1"/>
  <c r="N28" i="4"/>
  <c r="N29" i="4" a="1"/>
  <c r="N29" i="4"/>
  <c r="N30" i="4" a="1"/>
  <c r="N30" i="4"/>
  <c r="N31" i="4" a="1"/>
  <c r="N31" i="4"/>
  <c r="N32" i="4" a="1"/>
  <c r="N32" i="4"/>
  <c r="N33" i="4" a="1"/>
  <c r="N33" i="4"/>
  <c r="N34" i="4" a="1"/>
  <c r="N34" i="4"/>
  <c r="N35" i="4" a="1"/>
  <c r="N35" i="4"/>
  <c r="N36" i="4" a="1"/>
  <c r="N36" i="4"/>
  <c r="N37" i="4" a="1"/>
  <c r="N37" i="4"/>
  <c r="N38" i="4" a="1"/>
  <c r="N38" i="4"/>
  <c r="N39" i="4" a="1"/>
  <c r="N39" i="4"/>
  <c r="N40" i="4" a="1"/>
  <c r="N40" i="4"/>
  <c r="N41" i="4" a="1"/>
  <c r="N41" i="4"/>
  <c r="N42" i="4" a="1"/>
  <c r="N42" i="4"/>
  <c r="N43" i="4" a="1"/>
  <c r="N43" i="4"/>
  <c r="N44" i="4" a="1"/>
  <c r="N44" i="4"/>
  <c r="N45" i="4" a="1"/>
  <c r="N45" i="4"/>
  <c r="N46" i="4" a="1"/>
  <c r="N46" i="4"/>
  <c r="N47" i="4" a="1"/>
  <c r="N47" i="4"/>
  <c r="N48" i="4" a="1"/>
  <c r="N48" i="4"/>
  <c r="N49" i="4" a="1"/>
  <c r="N49" i="4"/>
  <c r="N50" i="4" a="1"/>
  <c r="N50" i="4"/>
  <c r="N51" i="4" a="1"/>
  <c r="N51" i="4"/>
  <c r="N52" i="4" a="1"/>
  <c r="N52" i="4"/>
  <c r="N53" i="4" a="1"/>
  <c r="N53" i="4"/>
  <c r="N54" i="4" a="1"/>
  <c r="N54" i="4"/>
  <c r="N55" i="4" a="1"/>
  <c r="N55" i="4"/>
  <c r="N56" i="4" a="1"/>
  <c r="N56" i="4"/>
  <c r="N57" i="4" a="1"/>
  <c r="N57" i="4"/>
  <c r="N58" i="4" a="1"/>
  <c r="N58" i="4"/>
  <c r="N59" i="4" a="1"/>
  <c r="N59" i="4"/>
  <c r="N60" i="4" a="1"/>
  <c r="N60" i="4"/>
  <c r="N61" i="4" a="1"/>
  <c r="N61" i="4"/>
  <c r="N62" i="4" a="1"/>
  <c r="N62" i="4"/>
  <c r="N63" i="4" a="1"/>
  <c r="N63" i="4"/>
  <c r="N64" i="4" a="1"/>
  <c r="N64" i="4"/>
  <c r="N65" i="4" a="1"/>
  <c r="N65" i="4"/>
  <c r="N66" i="4" a="1"/>
  <c r="N66" i="4"/>
  <c r="N67" i="4" a="1"/>
  <c r="N67" i="4"/>
  <c r="N68" i="4" a="1"/>
  <c r="N68" i="4"/>
  <c r="N69" i="4" a="1"/>
  <c r="N69" i="4"/>
  <c r="N70" i="4" a="1"/>
  <c r="N70" i="4"/>
  <c r="N71" i="4" a="1"/>
  <c r="N71" i="4"/>
  <c r="N72" i="4" a="1"/>
  <c r="N72" i="4"/>
  <c r="N73" i="4" a="1"/>
  <c r="N73" i="4"/>
  <c r="N74" i="4" a="1"/>
  <c r="N74" i="4"/>
  <c r="N75" i="4" a="1"/>
  <c r="N75" i="4"/>
  <c r="N76" i="4" a="1"/>
  <c r="N76" i="4"/>
  <c r="N77" i="4" a="1"/>
  <c r="N77" i="4"/>
  <c r="N78" i="4" a="1"/>
  <c r="N78" i="4"/>
  <c r="N79" i="4" a="1"/>
  <c r="N79" i="4"/>
  <c r="N80" i="4" a="1"/>
  <c r="N80" i="4"/>
  <c r="N81" i="4" a="1"/>
  <c r="N81" i="4"/>
  <c r="N82" i="4" a="1"/>
  <c r="N82" i="4"/>
  <c r="N83" i="4" a="1"/>
  <c r="N83" i="4"/>
  <c r="N84" i="4" a="1"/>
  <c r="N84" i="4"/>
  <c r="N85" i="4" a="1"/>
  <c r="N85" i="4"/>
  <c r="N86" i="4" a="1"/>
  <c r="N86" i="4"/>
  <c r="N87" i="4" a="1"/>
  <c r="N87" i="4"/>
  <c r="N88" i="4" a="1"/>
  <c r="N88" i="4"/>
  <c r="N89" i="4" a="1"/>
  <c r="N89" i="4"/>
  <c r="N90" i="4" a="1"/>
  <c r="N90" i="4"/>
  <c r="N91" i="4" a="1"/>
  <c r="N91" i="4"/>
  <c r="N92" i="4" a="1"/>
  <c r="N92" i="4"/>
  <c r="N93" i="4" a="1"/>
  <c r="N93" i="4"/>
  <c r="N94" i="4" a="1"/>
  <c r="N94" i="4"/>
  <c r="N95" i="4" a="1"/>
  <c r="N95" i="4"/>
  <c r="N96" i="4" a="1"/>
  <c r="N96" i="4"/>
  <c r="N97" i="4" a="1"/>
  <c r="N97" i="4"/>
  <c r="N98" i="4" a="1"/>
  <c r="N98" i="4"/>
  <c r="N99" i="4" a="1"/>
  <c r="N99" i="4"/>
  <c r="N100" i="4" a="1"/>
  <c r="N100" i="4"/>
  <c r="N101" i="4" a="1"/>
  <c r="N101" i="4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2" i="4"/>
  <c r="L3" i="4"/>
  <c r="L4" i="4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L2" i="4"/>
  <c r="J101" i="4"/>
  <c r="K101" i="4" s="1"/>
  <c r="J100" i="4"/>
  <c r="K100" i="4" s="1"/>
  <c r="J99" i="4"/>
  <c r="K99" i="4" s="1"/>
  <c r="J98" i="4"/>
  <c r="K98" i="4" s="1"/>
  <c r="J97" i="4"/>
  <c r="K97" i="4" s="1"/>
  <c r="J96" i="4"/>
  <c r="K96" i="4" s="1"/>
  <c r="J95" i="4"/>
  <c r="K95" i="4" s="1"/>
  <c r="J94" i="4"/>
  <c r="K94" i="4" s="1"/>
  <c r="J93" i="4"/>
  <c r="K93" i="4" s="1"/>
  <c r="J92" i="4"/>
  <c r="K92" i="4" s="1"/>
  <c r="J91" i="4"/>
  <c r="K91" i="4" s="1"/>
  <c r="J90" i="4"/>
  <c r="K90" i="4" s="1"/>
  <c r="J89" i="4"/>
  <c r="K89" i="4" s="1"/>
  <c r="J88" i="4"/>
  <c r="K88" i="4" s="1"/>
  <c r="J87" i="4"/>
  <c r="K87" i="4" s="1"/>
  <c r="J86" i="4"/>
  <c r="K86" i="4" s="1"/>
  <c r="J85" i="4"/>
  <c r="K85" i="4" s="1"/>
  <c r="J84" i="4"/>
  <c r="K84" i="4" s="1"/>
  <c r="J83" i="4"/>
  <c r="K83" i="4" s="1"/>
  <c r="J82" i="4"/>
  <c r="K82" i="4" s="1"/>
  <c r="J81" i="4"/>
  <c r="K81" i="4" s="1"/>
  <c r="J80" i="4"/>
  <c r="K80" i="4" s="1"/>
  <c r="J79" i="4"/>
  <c r="K79" i="4" s="1"/>
  <c r="J78" i="4"/>
  <c r="K78" i="4" s="1"/>
  <c r="J77" i="4"/>
  <c r="K77" i="4" s="1"/>
  <c r="J76" i="4"/>
  <c r="K76" i="4" s="1"/>
  <c r="J75" i="4"/>
  <c r="K75" i="4" s="1"/>
  <c r="J74" i="4"/>
  <c r="K74" i="4" s="1"/>
  <c r="J73" i="4"/>
  <c r="K73" i="4" s="1"/>
  <c r="J72" i="4"/>
  <c r="K72" i="4" s="1"/>
  <c r="J71" i="4"/>
  <c r="K71" i="4" s="1"/>
  <c r="J70" i="4"/>
  <c r="K70" i="4" s="1"/>
  <c r="J69" i="4"/>
  <c r="K69" i="4" s="1"/>
  <c r="J68" i="4"/>
  <c r="K68" i="4" s="1"/>
  <c r="J67" i="4"/>
  <c r="K67" i="4" s="1"/>
  <c r="J66" i="4"/>
  <c r="K66" i="4" s="1"/>
  <c r="J65" i="4"/>
  <c r="K65" i="4" s="1"/>
  <c r="J64" i="4"/>
  <c r="K64" i="4" s="1"/>
  <c r="J63" i="4"/>
  <c r="K63" i="4" s="1"/>
  <c r="J62" i="4"/>
  <c r="K62" i="4" s="1"/>
  <c r="J61" i="4"/>
  <c r="K61" i="4" s="1"/>
  <c r="J60" i="4"/>
  <c r="K60" i="4" s="1"/>
  <c r="J59" i="4"/>
  <c r="K59" i="4" s="1"/>
  <c r="J58" i="4"/>
  <c r="K58" i="4" s="1"/>
  <c r="J57" i="4"/>
  <c r="K57" i="4" s="1"/>
  <c r="J56" i="4"/>
  <c r="K56" i="4" s="1"/>
  <c r="J55" i="4"/>
  <c r="K55" i="4" s="1"/>
  <c r="J54" i="4"/>
  <c r="K54" i="4" s="1"/>
  <c r="J53" i="4"/>
  <c r="K53" i="4" s="1"/>
  <c r="J52" i="4"/>
  <c r="K52" i="4" s="1"/>
  <c r="J51" i="4"/>
  <c r="K51" i="4" s="1"/>
  <c r="J50" i="4"/>
  <c r="K50" i="4" s="1"/>
  <c r="J49" i="4"/>
  <c r="K49" i="4" s="1"/>
  <c r="J48" i="4"/>
  <c r="K48" i="4" s="1"/>
  <c r="J47" i="4"/>
  <c r="K47" i="4" s="1"/>
  <c r="J46" i="4"/>
  <c r="K46" i="4" s="1"/>
  <c r="J45" i="4"/>
  <c r="K45" i="4" s="1"/>
  <c r="J44" i="4"/>
  <c r="K44" i="4" s="1"/>
  <c r="J43" i="4"/>
  <c r="K43" i="4" s="1"/>
  <c r="J42" i="4"/>
  <c r="K42" i="4" s="1"/>
  <c r="J41" i="4"/>
  <c r="K41" i="4" s="1"/>
  <c r="J40" i="4"/>
  <c r="K40" i="4" s="1"/>
  <c r="J39" i="4"/>
  <c r="K39" i="4" s="1"/>
  <c r="J38" i="4"/>
  <c r="K38" i="4" s="1"/>
  <c r="J37" i="4"/>
  <c r="K37" i="4" s="1"/>
  <c r="J36" i="4"/>
  <c r="K36" i="4" s="1"/>
  <c r="J35" i="4"/>
  <c r="K35" i="4" s="1"/>
  <c r="J34" i="4"/>
  <c r="K34" i="4" s="1"/>
  <c r="J33" i="4"/>
  <c r="K33" i="4" s="1"/>
  <c r="J32" i="4"/>
  <c r="K32" i="4" s="1"/>
  <c r="J31" i="4"/>
  <c r="K31" i="4" s="1"/>
  <c r="J30" i="4"/>
  <c r="K30" i="4" s="1"/>
  <c r="J29" i="4"/>
  <c r="K29" i="4" s="1"/>
  <c r="J28" i="4"/>
  <c r="K28" i="4" s="1"/>
  <c r="J27" i="4"/>
  <c r="K27" i="4" s="1"/>
  <c r="J26" i="4"/>
  <c r="K26" i="4" s="1"/>
  <c r="J25" i="4"/>
  <c r="K25" i="4" s="1"/>
  <c r="J24" i="4"/>
  <c r="K24" i="4" s="1"/>
  <c r="J23" i="4"/>
  <c r="K23" i="4" s="1"/>
  <c r="J22" i="4"/>
  <c r="K22" i="4" s="1"/>
  <c r="J21" i="4"/>
  <c r="K21" i="4" s="1"/>
  <c r="J20" i="4"/>
  <c r="K20" i="4" s="1"/>
  <c r="J19" i="4"/>
  <c r="K19" i="4" s="1"/>
  <c r="J18" i="4"/>
  <c r="K18" i="4" s="1"/>
  <c r="J17" i="4"/>
  <c r="K17" i="4" s="1"/>
  <c r="J16" i="4"/>
  <c r="K16" i="4" s="1"/>
  <c r="J15" i="4"/>
  <c r="K15" i="4" s="1"/>
  <c r="J14" i="4"/>
  <c r="K14" i="4" s="1"/>
  <c r="J13" i="4"/>
  <c r="K13" i="4" s="1"/>
  <c r="J12" i="4"/>
  <c r="K12" i="4" s="1"/>
  <c r="J11" i="4"/>
  <c r="K11" i="4" s="1"/>
  <c r="J10" i="4"/>
  <c r="K10" i="4" s="1"/>
  <c r="J9" i="4"/>
  <c r="K9" i="4" s="1"/>
  <c r="J8" i="4"/>
  <c r="K8" i="4" s="1"/>
  <c r="J7" i="4"/>
  <c r="K7" i="4" s="1"/>
  <c r="J6" i="4"/>
  <c r="K6" i="4" s="1"/>
  <c r="J5" i="4"/>
  <c r="K5" i="4" s="1"/>
  <c r="J4" i="4"/>
  <c r="K4" i="4" s="1"/>
  <c r="J3" i="4"/>
  <c r="K3" i="4" s="1"/>
  <c r="J2" i="4"/>
  <c r="K2" i="4" s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2" i="3"/>
  <c r="K2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<sst xmlns="http://schemas.openxmlformats.org/spreadsheetml/2006/main" count="5442" uniqueCount="746">
  <si>
    <t>Student_ID</t>
  </si>
  <si>
    <t>Student_Name</t>
  </si>
  <si>
    <t>Class</t>
  </si>
  <si>
    <t>Gender</t>
  </si>
  <si>
    <t>English</t>
  </si>
  <si>
    <t>Maths</t>
  </si>
  <si>
    <t>Science</t>
  </si>
  <si>
    <t>Computer</t>
  </si>
  <si>
    <t>Attendance</t>
  </si>
  <si>
    <t>S001</t>
  </si>
  <si>
    <t>Aarav Sharma</t>
  </si>
  <si>
    <t>10A</t>
  </si>
  <si>
    <t>Male</t>
  </si>
  <si>
    <t>S002</t>
  </si>
  <si>
    <t>Riya Patel</t>
  </si>
  <si>
    <t>Female</t>
  </si>
  <si>
    <t>S003</t>
  </si>
  <si>
    <t>Kabir Mehta</t>
  </si>
  <si>
    <t>10B</t>
  </si>
  <si>
    <t>S004</t>
  </si>
  <si>
    <t>Ananya Shah</t>
  </si>
  <si>
    <t>10C</t>
  </si>
  <si>
    <t>S005</t>
  </si>
  <si>
    <t>Arjun Verma</t>
  </si>
  <si>
    <t>S006</t>
  </si>
  <si>
    <t>Diya Joshi</t>
  </si>
  <si>
    <t>S007</t>
  </si>
  <si>
    <t>Rohan Gupta</t>
  </si>
  <si>
    <t>S008</t>
  </si>
  <si>
    <t>Isha Desai</t>
  </si>
  <si>
    <t>S009</t>
  </si>
  <si>
    <t>Aditya Kulkarni</t>
  </si>
  <si>
    <t>S010</t>
  </si>
  <si>
    <t>Meera Nair</t>
  </si>
  <si>
    <t>S011</t>
  </si>
  <si>
    <t>Vihaan Singh</t>
  </si>
  <si>
    <t>S012</t>
  </si>
  <si>
    <t>Saanvi Rao</t>
  </si>
  <si>
    <t>S013</t>
  </si>
  <si>
    <t>Reyansh Kapoor</t>
  </si>
  <si>
    <t>S014</t>
  </si>
  <si>
    <t>Anika Iyer</t>
  </si>
  <si>
    <t>S015</t>
  </si>
  <si>
    <t>Krish Malhotra</t>
  </si>
  <si>
    <t>S016</t>
  </si>
  <si>
    <t>Myra Choudhary</t>
  </si>
  <si>
    <t>S017</t>
  </si>
  <si>
    <t>Advait Bansal</t>
  </si>
  <si>
    <t>S018</t>
  </si>
  <si>
    <t>Aanya Jain</t>
  </si>
  <si>
    <t>S019</t>
  </si>
  <si>
    <t>Dhruv Mishra</t>
  </si>
  <si>
    <t>S020</t>
  </si>
  <si>
    <t>Tara Menon</t>
  </si>
  <si>
    <t>S021</t>
  </si>
  <si>
    <t>Arnav Sethi</t>
  </si>
  <si>
    <t>S022</t>
  </si>
  <si>
    <t>Kiara Kapoor</t>
  </si>
  <si>
    <t>S023</t>
  </si>
  <si>
    <t>Rudra Patil</t>
  </si>
  <si>
    <t>S024</t>
  </si>
  <si>
    <t>Nisha Agarwal</t>
  </si>
  <si>
    <t>S025</t>
  </si>
  <si>
    <t>Yash Thakur</t>
  </si>
  <si>
    <t>S026</t>
  </si>
  <si>
    <t>Aditi Kulkarni</t>
  </si>
  <si>
    <t>S027</t>
  </si>
  <si>
    <t>Devansh Shah</t>
  </si>
  <si>
    <t>S028</t>
  </si>
  <si>
    <t>Ira Mehta</t>
  </si>
  <si>
    <t>S029</t>
  </si>
  <si>
    <t>Harsh Vora</t>
  </si>
  <si>
    <t>S030</t>
  </si>
  <si>
    <t>Navya Joshi</t>
  </si>
  <si>
    <t>S031</t>
  </si>
  <si>
    <t>Reyansh Patel</t>
  </si>
  <si>
    <t>S032</t>
  </si>
  <si>
    <t>Avni Desai</t>
  </si>
  <si>
    <t>S033</t>
  </si>
  <si>
    <t>Atharv Rao</t>
  </si>
  <si>
    <t>S034</t>
  </si>
  <si>
    <t>Shreya Nair</t>
  </si>
  <si>
    <t>S035</t>
  </si>
  <si>
    <t>Parth Verma</t>
  </si>
  <si>
    <t>S036</t>
  </si>
  <si>
    <t>Anvi Sharma</t>
  </si>
  <si>
    <t>S037</t>
  </si>
  <si>
    <t>Rudransh Gupta</t>
  </si>
  <si>
    <t>S038</t>
  </si>
  <si>
    <t>Mahi Singh</t>
  </si>
  <si>
    <t>S039</t>
  </si>
  <si>
    <t>Samar Iyer</t>
  </si>
  <si>
    <t>S040</t>
  </si>
  <si>
    <t>Aarohi Jain</t>
  </si>
  <si>
    <t>S041</t>
  </si>
  <si>
    <t>Veer Malhotra</t>
  </si>
  <si>
    <t>S042</t>
  </si>
  <si>
    <t>Siya Bansal</t>
  </si>
  <si>
    <t>S043</t>
  </si>
  <si>
    <t>Ansh Choudhary</t>
  </si>
  <si>
    <t>S044</t>
  </si>
  <si>
    <t>Tanvi Mehta</t>
  </si>
  <si>
    <t>S045</t>
  </si>
  <si>
    <t>Shivansh Kapoor</t>
  </si>
  <si>
    <t>S046</t>
  </si>
  <si>
    <t>Prisha Sethi</t>
  </si>
  <si>
    <t>S047</t>
  </si>
  <si>
    <t>Manav Thakur</t>
  </si>
  <si>
    <t>S048</t>
  </si>
  <si>
    <t>Avisha Patil</t>
  </si>
  <si>
    <t>S049</t>
  </si>
  <si>
    <t>Om Verma</t>
  </si>
  <si>
    <t>S050</t>
  </si>
  <si>
    <t>Kavya Nair</t>
  </si>
  <si>
    <t>S051</t>
  </si>
  <si>
    <t>Shrey Gupta</t>
  </si>
  <si>
    <t>S052</t>
  </si>
  <si>
    <t>Shruti Shah</t>
  </si>
  <si>
    <t>S053</t>
  </si>
  <si>
    <t>Raghav Joshi</t>
  </si>
  <si>
    <t>S054</t>
  </si>
  <si>
    <t>Amaya Rao</t>
  </si>
  <si>
    <t>S055</t>
  </si>
  <si>
    <t>Aryan Desai</t>
  </si>
  <si>
    <t>S056</t>
  </si>
  <si>
    <t>Pranavi Kulkarni</t>
  </si>
  <si>
    <t>S057</t>
  </si>
  <si>
    <t>Vihaan Mehta</t>
  </si>
  <si>
    <t>S058</t>
  </si>
  <si>
    <t>Ishita Agarwal</t>
  </si>
  <si>
    <t>S059</t>
  </si>
  <si>
    <t>Advik Patel</t>
  </si>
  <si>
    <t>S060</t>
  </si>
  <si>
    <t>Ritika Sharma</t>
  </si>
  <si>
    <t>S061</t>
  </si>
  <si>
    <t>Ayaan Kapoor</t>
  </si>
  <si>
    <t>S062</t>
  </si>
  <si>
    <t>Simran Verma</t>
  </si>
  <si>
    <t>S063</t>
  </si>
  <si>
    <t>Kian Gupta</t>
  </si>
  <si>
    <t>S064</t>
  </si>
  <si>
    <t>Navya Singh</t>
  </si>
  <si>
    <t>S065</t>
  </si>
  <si>
    <t>Dev Patel</t>
  </si>
  <si>
    <t>S066</t>
  </si>
  <si>
    <t>Suhana Iyer</t>
  </si>
  <si>
    <t>S067</t>
  </si>
  <si>
    <t>Arhaan Jain</t>
  </si>
  <si>
    <t>S068</t>
  </si>
  <si>
    <t>Sara Nair</t>
  </si>
  <si>
    <t>S069</t>
  </si>
  <si>
    <t>Anay Malhotra</t>
  </si>
  <si>
    <t>S070</t>
  </si>
  <si>
    <t>Ishani Bansal</t>
  </si>
  <si>
    <t>S071</t>
  </si>
  <si>
    <t>Rajveer Shah</t>
  </si>
  <si>
    <t>S072</t>
  </si>
  <si>
    <t>Prisha Mehta</t>
  </si>
  <si>
    <t>S073</t>
  </si>
  <si>
    <t>Atharv Joshi</t>
  </si>
  <si>
    <t>S074</t>
  </si>
  <si>
    <t>Samaira Rao</t>
  </si>
  <si>
    <t>S075</t>
  </si>
  <si>
    <t>Arnav Desai</t>
  </si>
  <si>
    <t>S076</t>
  </si>
  <si>
    <t>Ishaan Verma</t>
  </si>
  <si>
    <t>S077</t>
  </si>
  <si>
    <t>Anaya Gupta</t>
  </si>
  <si>
    <t>S078</t>
  </si>
  <si>
    <t>Devanshi Shah</t>
  </si>
  <si>
    <t>S079</t>
  </si>
  <si>
    <t>Rudra Nair</t>
  </si>
  <si>
    <t>S080</t>
  </si>
  <si>
    <t>Shravya Kapoor</t>
  </si>
  <si>
    <t>S081</t>
  </si>
  <si>
    <t>Aditya Mehta</t>
  </si>
  <si>
    <t>S082</t>
  </si>
  <si>
    <t>Ira Sharma</t>
  </si>
  <si>
    <t>S083</t>
  </si>
  <si>
    <t>Kartik Patel</t>
  </si>
  <si>
    <t>S084</t>
  </si>
  <si>
    <t>Anushka Jain</t>
  </si>
  <si>
    <t>S085</t>
  </si>
  <si>
    <t>Hriday Singh</t>
  </si>
  <si>
    <t>S086</t>
  </si>
  <si>
    <t>Anvi Verma</t>
  </si>
  <si>
    <t>S087</t>
  </si>
  <si>
    <t>Arjun Desai</t>
  </si>
  <si>
    <t>S088</t>
  </si>
  <si>
    <t>Kiara Shah</t>
  </si>
  <si>
    <t>S089</t>
  </si>
  <si>
    <t>Rishaan Gupta</t>
  </si>
  <si>
    <t>S090</t>
  </si>
  <si>
    <t>Myra Patel</t>
  </si>
  <si>
    <t>S091</t>
  </si>
  <si>
    <t>Kabir Nair</t>
  </si>
  <si>
    <t>S092</t>
  </si>
  <si>
    <t>Diya Mehta</t>
  </si>
  <si>
    <t>S093</t>
  </si>
  <si>
    <t>Armaan Kapoor</t>
  </si>
  <si>
    <t>S094</t>
  </si>
  <si>
    <t>Sia Joshi</t>
  </si>
  <si>
    <t>S095</t>
  </si>
  <si>
    <t>Reyansh Shah</t>
  </si>
  <si>
    <t>S096</t>
  </si>
  <si>
    <t>Aadhya Rao</t>
  </si>
  <si>
    <t>S097</t>
  </si>
  <si>
    <t>Vihaan Patel</t>
  </si>
  <si>
    <t>S098</t>
  </si>
  <si>
    <t>Tanya Desai</t>
  </si>
  <si>
    <t>S099</t>
  </si>
  <si>
    <t>Arnav Nair</t>
  </si>
  <si>
    <t>S100</t>
  </si>
  <si>
    <t>Sanvi Mehta</t>
  </si>
  <si>
    <t>Total</t>
  </si>
  <si>
    <t>Average</t>
  </si>
  <si>
    <t>Percentage</t>
  </si>
  <si>
    <t>Max</t>
  </si>
  <si>
    <t xml:space="preserve">Min </t>
  </si>
  <si>
    <t>Result</t>
  </si>
  <si>
    <t>Attendance_Status</t>
  </si>
  <si>
    <t>Performance</t>
  </si>
  <si>
    <t>Grade</t>
  </si>
  <si>
    <t>FAIL</t>
  </si>
  <si>
    <t>Full_Name</t>
  </si>
  <si>
    <t>Class_Gender</t>
  </si>
  <si>
    <t>Subject_Marks</t>
  </si>
  <si>
    <t>ST001</t>
  </si>
  <si>
    <t>10A | Male</t>
  </si>
  <si>
    <t>English:78;Maths:85</t>
  </si>
  <si>
    <t>ST002</t>
  </si>
  <si>
    <t>Ananya Patel</t>
  </si>
  <si>
    <t>10A | Female</t>
  </si>
  <si>
    <t>English:88;Maths:91</t>
  </si>
  <si>
    <t>ST003</t>
  </si>
  <si>
    <t>Rohan Verma</t>
  </si>
  <si>
    <t>10B | Male</t>
  </si>
  <si>
    <t>English:65;Maths:72</t>
  </si>
  <si>
    <t>ST004</t>
  </si>
  <si>
    <t>Priya Singh</t>
  </si>
  <si>
    <t>10B | Female</t>
  </si>
  <si>
    <t>English:91;Maths:89</t>
  </si>
  <si>
    <t>ST005</t>
  </si>
  <si>
    <t>Arjun Mehta</t>
  </si>
  <si>
    <t>English:56;Maths:61</t>
  </si>
  <si>
    <t>ST006</t>
  </si>
  <si>
    <t>Diya Gupta</t>
  </si>
  <si>
    <t>10C | Female</t>
  </si>
  <si>
    <t>English:83;Maths:87</t>
  </si>
  <si>
    <t>ST007</t>
  </si>
  <si>
    <t>Vivaan Shah</t>
  </si>
  <si>
    <t>10C | Male</t>
  </si>
  <si>
    <t>English:72;Maths:68</t>
  </si>
  <si>
    <t>ST008</t>
  </si>
  <si>
    <t>Isha Kumar</t>
  </si>
  <si>
    <t>English:95;Maths:94</t>
  </si>
  <si>
    <t>ST009</t>
  </si>
  <si>
    <t>Aditya Joshi</t>
  </si>
  <si>
    <t>English:48;Maths:55</t>
  </si>
  <si>
    <t>ST010</t>
  </si>
  <si>
    <t>English:79;Maths:82</t>
  </si>
  <si>
    <t>ST011</t>
  </si>
  <si>
    <t>Kabir Rao</t>
  </si>
  <si>
    <t>English:86;Maths:80</t>
  </si>
  <si>
    <t>ST012</t>
  </si>
  <si>
    <t>Sara Khan</t>
  </si>
  <si>
    <t>English:67;Maths:74</t>
  </si>
  <si>
    <t>ST013</t>
  </si>
  <si>
    <t>Reyansh Das</t>
  </si>
  <si>
    <t>English:90;Maths:92</t>
  </si>
  <si>
    <t>ST014</t>
  </si>
  <si>
    <t>Aanya Iyer</t>
  </si>
  <si>
    <t>English:84;Maths:88</t>
  </si>
  <si>
    <t>ST015</t>
  </si>
  <si>
    <t>Ishaan Malhotra</t>
  </si>
  <si>
    <t>English:59;Maths:63</t>
  </si>
  <si>
    <t>ST016</t>
  </si>
  <si>
    <t>Kavya Reddy</t>
  </si>
  <si>
    <t>English:93;Maths:96</t>
  </si>
  <si>
    <t>ST017</t>
  </si>
  <si>
    <t>Dev Mishra</t>
  </si>
  <si>
    <t>English:71;Maths:69</t>
  </si>
  <si>
    <t>ST018</t>
  </si>
  <si>
    <t>Myra Kapoor</t>
  </si>
  <si>
    <t>English:81;Maths:85</t>
  </si>
  <si>
    <t>ST019</t>
  </si>
  <si>
    <t>Krish Bansal</t>
  </si>
  <si>
    <t>English:44;Maths:52</t>
  </si>
  <si>
    <t>ST020</t>
  </si>
  <si>
    <t>Tara Sinha</t>
  </si>
  <si>
    <t>English:87;Maths:90</t>
  </si>
  <si>
    <t>ST021</t>
  </si>
  <si>
    <t>Neil Fernandes</t>
  </si>
  <si>
    <t>English:76;Maths:73</t>
  </si>
  <si>
    <t>ST022</t>
  </si>
  <si>
    <t>Avni Chawla</t>
  </si>
  <si>
    <t>English:89;Maths:92</t>
  </si>
  <si>
    <t>ST023</t>
  </si>
  <si>
    <t>Samar Khanna</t>
  </si>
  <si>
    <t>English:62;Maths:66</t>
  </si>
  <si>
    <t>ST024</t>
  </si>
  <si>
    <t>Riya Menon</t>
  </si>
  <si>
    <t>English:94;Maths:91</t>
  </si>
  <si>
    <t>ST025</t>
  </si>
  <si>
    <t>Atharv Kulkarni</t>
  </si>
  <si>
    <t>English:53;Maths:58</t>
  </si>
  <si>
    <t>ST026</t>
  </si>
  <si>
    <t>Kiara Sethi</t>
  </si>
  <si>
    <t>English:85;Maths:87</t>
  </si>
  <si>
    <t>ST027</t>
  </si>
  <si>
    <t>English:68;Maths:70</t>
  </si>
  <si>
    <t>ST028</t>
  </si>
  <si>
    <t>Pari Desai</t>
  </si>
  <si>
    <t>English:92;Maths:95</t>
  </si>
  <si>
    <t>ST029</t>
  </si>
  <si>
    <t>Om Prakash</t>
  </si>
  <si>
    <t>English:74;Maths:77</t>
  </si>
  <si>
    <t>ST030</t>
  </si>
  <si>
    <t>Siya Jain</t>
  </si>
  <si>
    <t>English:80;Maths:84</t>
  </si>
  <si>
    <t>ST031</t>
  </si>
  <si>
    <t>Manav Arora</t>
  </si>
  <si>
    <t>English:57;Maths:60</t>
  </si>
  <si>
    <t>ST032</t>
  </si>
  <si>
    <t>Navya Bose</t>
  </si>
  <si>
    <t>English:88;Maths:86</t>
  </si>
  <si>
    <t>ST033</t>
  </si>
  <si>
    <t>Aryan Pillai</t>
  </si>
  <si>
    <t>English:69;Maths:71</t>
  </si>
  <si>
    <t>ST034</t>
  </si>
  <si>
    <t>Anika Ghosh</t>
  </si>
  <si>
    <t>English:96;Maths:93</t>
  </si>
  <si>
    <t>ST035</t>
  </si>
  <si>
    <t>Rudra Shetty</t>
  </si>
  <si>
    <t>English:51;Maths:56</t>
  </si>
  <si>
    <t>ST036</t>
  </si>
  <si>
    <t>Mira Saxena</t>
  </si>
  <si>
    <t>English:82;Maths:88</t>
  </si>
  <si>
    <t>ST037</t>
  </si>
  <si>
    <t>Veer Anand</t>
  </si>
  <si>
    <t>English:77;Maths:75</t>
  </si>
  <si>
    <t>ST038</t>
  </si>
  <si>
    <t>Ahana Roy</t>
  </si>
  <si>
    <t>English:90;Maths:94</t>
  </si>
  <si>
    <t>ST039</t>
  </si>
  <si>
    <t>Dhruv Bhatia</t>
  </si>
  <si>
    <t>English:63;Maths:67</t>
  </si>
  <si>
    <t>ST040</t>
  </si>
  <si>
    <t>Saanvi Puri</t>
  </si>
  <si>
    <t>English:86;Maths:89</t>
  </si>
  <si>
    <t>ST041</t>
  </si>
  <si>
    <t>Parth Ahuja</t>
  </si>
  <si>
    <t>English:58;Maths:62</t>
  </si>
  <si>
    <t>ST042</t>
  </si>
  <si>
    <t>Prisha Dutta</t>
  </si>
  <si>
    <t>English:91;Maths:90</t>
  </si>
  <si>
    <t>ST043</t>
  </si>
  <si>
    <t>Kiaan Oberoi</t>
  </si>
  <si>
    <t>English:73;Maths:76</t>
  </si>
  <si>
    <t>ST044</t>
  </si>
  <si>
    <t>Ira Mukherjee</t>
  </si>
  <si>
    <t>English:84;Maths:92</t>
  </si>
  <si>
    <t>ST045</t>
  </si>
  <si>
    <t>Shivansh Sood</t>
  </si>
  <si>
    <t>English:47;Maths:54</t>
  </si>
  <si>
    <t>ST046</t>
  </si>
  <si>
    <t>Trisha Paul</t>
  </si>
  <si>
    <t>English:89;Maths:87</t>
  </si>
  <si>
    <t>ST047</t>
  </si>
  <si>
    <t>Advik Sen</t>
  </si>
  <si>
    <t>English:66;Maths:70</t>
  </si>
  <si>
    <t>ST048</t>
  </si>
  <si>
    <t>Saloni Yadav</t>
  </si>
  <si>
    <t>English:93;Maths:95</t>
  </si>
  <si>
    <t>ST049</t>
  </si>
  <si>
    <t>Hriday Jain</t>
  </si>
  <si>
    <t>English:75;Maths:78</t>
  </si>
  <si>
    <t>ST050</t>
  </si>
  <si>
    <t>Mahi Agarwal</t>
  </si>
  <si>
    <t>English:81;Maths:83</t>
  </si>
  <si>
    <t>ST051</t>
  </si>
  <si>
    <t>Naksh Gill</t>
  </si>
  <si>
    <t>English:55;Maths:59</t>
  </si>
  <si>
    <t>ST052</t>
  </si>
  <si>
    <t>Shanaya Lobo</t>
  </si>
  <si>
    <t>English:87;Maths:91</t>
  </si>
  <si>
    <t>ST053</t>
  </si>
  <si>
    <t>Vihaan Tripathi</t>
  </si>
  <si>
    <t>English:70;Maths:74</t>
  </si>
  <si>
    <t>ST054</t>
  </si>
  <si>
    <t>Akshara Nambiar</t>
  </si>
  <si>
    <t>English:95;Maths:97</t>
  </si>
  <si>
    <t>ST055</t>
  </si>
  <si>
    <t>Rehan Qureshi</t>
  </si>
  <si>
    <t>English:61;Maths:64</t>
  </si>
  <si>
    <t>ST056</t>
  </si>
  <si>
    <t>Aditi Saxena</t>
  </si>
  <si>
    <t>English:83;Maths:86</t>
  </si>
  <si>
    <t>ST057</t>
  </si>
  <si>
    <t>Pranav Suri</t>
  </si>
  <si>
    <t>English:79;Maths:81</t>
  </si>
  <si>
    <t>ST058</t>
  </si>
  <si>
    <t>Simran Kaur</t>
  </si>
  <si>
    <t>English:92;Maths:90</t>
  </si>
  <si>
    <t>ST059</t>
  </si>
  <si>
    <t>Agastya Chandra</t>
  </si>
  <si>
    <t>English:49;Maths:53</t>
  </si>
  <si>
    <t>ST060</t>
  </si>
  <si>
    <t>Anvi Bhardwaj</t>
  </si>
  <si>
    <t>English:85;Maths:88</t>
  </si>
  <si>
    <t>ST061</t>
  </si>
  <si>
    <t>Tejas Patil</t>
  </si>
  <si>
    <t>English:64;Maths:68</t>
  </si>
  <si>
    <t>ST062</t>
  </si>
  <si>
    <t>Ritika Bedi</t>
  </si>
  <si>
    <t>ST063</t>
  </si>
  <si>
    <t>Shaurya Goyal</t>
  </si>
  <si>
    <t>English:72;Maths:75</t>
  </si>
  <si>
    <t>ST064</t>
  </si>
  <si>
    <t>Nitya Venkatesh</t>
  </si>
  <si>
    <t>English:88;Maths:94</t>
  </si>
  <si>
    <t>ST065</t>
  </si>
  <si>
    <t>Arnav Choudhary</t>
  </si>
  <si>
    <t>English:52;Maths:57</t>
  </si>
  <si>
    <t>ST066</t>
  </si>
  <si>
    <t>Pihu Saran</t>
  </si>
  <si>
    <t>English:80;Maths:85</t>
  </si>
  <si>
    <t>ST067</t>
  </si>
  <si>
    <t>Anshul Tiwari</t>
  </si>
  <si>
    <t>English:67;Maths:69</t>
  </si>
  <si>
    <t>ST068</t>
  </si>
  <si>
    <t>Salma Sheikh</t>
  </si>
  <si>
    <t>English:94;Maths:96</t>
  </si>
  <si>
    <t>ST069</t>
  </si>
  <si>
    <t>Kushagra Mittal</t>
  </si>
  <si>
    <t>English:76;Maths:79</t>
  </si>
  <si>
    <t>ST070</t>
  </si>
  <si>
    <t>Jhanvi Parmar</t>
  </si>
  <si>
    <t>ST071</t>
  </si>
  <si>
    <t>Raghav Batra</t>
  </si>
  <si>
    <t>English:60;Maths:65</t>
  </si>
  <si>
    <t>ST072</t>
  </si>
  <si>
    <t>Shruti Naidu</t>
  </si>
  <si>
    <t>English:91;Maths:93</t>
  </si>
  <si>
    <t>ST073</t>
  </si>
  <si>
    <t>Abeer Lal</t>
  </si>
  <si>
    <t>English:74;Maths:72</t>
  </si>
  <si>
    <t>ST074</t>
  </si>
  <si>
    <t>Muskan Saini</t>
  </si>
  <si>
    <t>English:84;Maths:87</t>
  </si>
  <si>
    <t>ST075</t>
  </si>
  <si>
    <t>Chirag Wadhwa</t>
  </si>
  <si>
    <t>English:46;Maths:51</t>
  </si>
  <si>
    <t>ST076</t>
  </si>
  <si>
    <t>Vanya Sood</t>
  </si>
  <si>
    <t>ST077</t>
  </si>
  <si>
    <t>Pratyush Roy</t>
  </si>
  <si>
    <t>English:68;Maths:73</t>
  </si>
  <si>
    <t>ST078</t>
  </si>
  <si>
    <t>Khushi Arora</t>
  </si>
  <si>
    <t>English:96;Maths:98</t>
  </si>
  <si>
    <t>ST079</t>
  </si>
  <si>
    <t>Naman Bhat</t>
  </si>
  <si>
    <t>English:57;Maths:61</t>
  </si>
  <si>
    <t>ST080</t>
  </si>
  <si>
    <t>Shreya Iyer</t>
  </si>
  <si>
    <t>English:82;Maths:84</t>
  </si>
  <si>
    <t>ST081</t>
  </si>
  <si>
    <t>ST082</t>
  </si>
  <si>
    <t>ST083</t>
  </si>
  <si>
    <t>ST084</t>
  </si>
  <si>
    <t>ST085</t>
  </si>
  <si>
    <t>Aarav  Sharma</t>
  </si>
  <si>
    <t>ST086</t>
  </si>
  <si>
    <t>ROHAN VERMA</t>
  </si>
  <si>
    <t>ST087</t>
  </si>
  <si>
    <t>ST088</t>
  </si>
  <si>
    <t>ST089</t>
  </si>
  <si>
    <t>ST090</t>
  </si>
  <si>
    <t>ST091</t>
  </si>
  <si>
    <t>ST092</t>
  </si>
  <si>
    <t>ST093</t>
  </si>
  <si>
    <t>ST094</t>
  </si>
  <si>
    <t>English:75;Maths:80</t>
  </si>
  <si>
    <t>ST095</t>
  </si>
  <si>
    <t>ST096</t>
  </si>
  <si>
    <t>ST097</t>
  </si>
  <si>
    <t>ST098</t>
  </si>
  <si>
    <t>ST099</t>
  </si>
  <si>
    <t>ST100</t>
  </si>
  <si>
    <t>First Name</t>
  </si>
  <si>
    <t>Last Name</t>
  </si>
  <si>
    <t>Aarav</t>
  </si>
  <si>
    <t>Sharma</t>
  </si>
  <si>
    <t>English:78</t>
  </si>
  <si>
    <t>Maths:85</t>
  </si>
  <si>
    <t>Ananya</t>
  </si>
  <si>
    <t>Patel</t>
  </si>
  <si>
    <t>English:88</t>
  </si>
  <si>
    <t>Maths:91</t>
  </si>
  <si>
    <t>Rohan</t>
  </si>
  <si>
    <t>Verma</t>
  </si>
  <si>
    <t>English:65</t>
  </si>
  <si>
    <t>Maths:72</t>
  </si>
  <si>
    <t>Priya</t>
  </si>
  <si>
    <t>Singh</t>
  </si>
  <si>
    <t>English:91</t>
  </si>
  <si>
    <t>Maths:89</t>
  </si>
  <si>
    <t>Arjun</t>
  </si>
  <si>
    <t>Mehta</t>
  </si>
  <si>
    <t>English:56</t>
  </si>
  <si>
    <t>Maths:61</t>
  </si>
  <si>
    <t>Diya</t>
  </si>
  <si>
    <t>Gupta</t>
  </si>
  <si>
    <t>English:83</t>
  </si>
  <si>
    <t>Maths:87</t>
  </si>
  <si>
    <t>Vivaan</t>
  </si>
  <si>
    <t>Shah</t>
  </si>
  <si>
    <t>English:72</t>
  </si>
  <si>
    <t>Maths:68</t>
  </si>
  <si>
    <t>Isha</t>
  </si>
  <si>
    <t>Kumar</t>
  </si>
  <si>
    <t>English:95</t>
  </si>
  <si>
    <t>Maths:94</t>
  </si>
  <si>
    <t>Aditya</t>
  </si>
  <si>
    <t>Joshi</t>
  </si>
  <si>
    <t>English:48</t>
  </si>
  <si>
    <t>Maths:55</t>
  </si>
  <si>
    <t>Meera</t>
  </si>
  <si>
    <t>Nair</t>
  </si>
  <si>
    <t>English:79</t>
  </si>
  <si>
    <t>Maths:82</t>
  </si>
  <si>
    <t>Kabir</t>
  </si>
  <si>
    <t>Rao</t>
  </si>
  <si>
    <t>English:86</t>
  </si>
  <si>
    <t>Maths:80</t>
  </si>
  <si>
    <t>Sara</t>
  </si>
  <si>
    <t>Khan</t>
  </si>
  <si>
    <t>English:67</t>
  </si>
  <si>
    <t>Maths:74</t>
  </si>
  <si>
    <t>Reyansh</t>
  </si>
  <si>
    <t>Das</t>
  </si>
  <si>
    <t>English:90</t>
  </si>
  <si>
    <t>Maths:92</t>
  </si>
  <si>
    <t>Aanya</t>
  </si>
  <si>
    <t>Iyer</t>
  </si>
  <si>
    <t>English:84</t>
  </si>
  <si>
    <t>Maths:88</t>
  </si>
  <si>
    <t>Ishaan</t>
  </si>
  <si>
    <t>Malhotra</t>
  </si>
  <si>
    <t>English:59</t>
  </si>
  <si>
    <t>Maths:63</t>
  </si>
  <si>
    <t>Kavya</t>
  </si>
  <si>
    <t>Reddy</t>
  </si>
  <si>
    <t>English:93</t>
  </si>
  <si>
    <t>Maths:96</t>
  </si>
  <si>
    <t>Dev</t>
  </si>
  <si>
    <t>Mishra</t>
  </si>
  <si>
    <t>English:71</t>
  </si>
  <si>
    <t>Maths:69</t>
  </si>
  <si>
    <t>Myra</t>
  </si>
  <si>
    <t>Kapoor</t>
  </si>
  <si>
    <t>English:81</t>
  </si>
  <si>
    <t>Krish</t>
  </si>
  <si>
    <t>Bansal</t>
  </si>
  <si>
    <t>English:44</t>
  </si>
  <si>
    <t>Maths:52</t>
  </si>
  <si>
    <t>Tara</t>
  </si>
  <si>
    <t>Sinha</t>
  </si>
  <si>
    <t>English:87</t>
  </si>
  <si>
    <t>Maths:90</t>
  </si>
  <si>
    <t>Neil</t>
  </si>
  <si>
    <t>Fernandes</t>
  </si>
  <si>
    <t>English:76</t>
  </si>
  <si>
    <t>Maths:73</t>
  </si>
  <si>
    <t>Avni</t>
  </si>
  <si>
    <t>Chawla</t>
  </si>
  <si>
    <t>English:89</t>
  </si>
  <si>
    <t>Samar</t>
  </si>
  <si>
    <t>Khanna</t>
  </si>
  <si>
    <t>English:62</t>
  </si>
  <si>
    <t>Maths:66</t>
  </si>
  <si>
    <t>Riya</t>
  </si>
  <si>
    <t>Menon</t>
  </si>
  <si>
    <t>English:94</t>
  </si>
  <si>
    <t>Atharv</t>
  </si>
  <si>
    <t>Kulkarni</t>
  </si>
  <si>
    <t>English:53</t>
  </si>
  <si>
    <t>Maths:58</t>
  </si>
  <si>
    <t>Kiara</t>
  </si>
  <si>
    <t>Sethi</t>
  </si>
  <si>
    <t>English:85</t>
  </si>
  <si>
    <t>Yash</t>
  </si>
  <si>
    <t>Thakur</t>
  </si>
  <si>
    <t>English:68</t>
  </si>
  <si>
    <t>Maths:70</t>
  </si>
  <si>
    <t>Pari</t>
  </si>
  <si>
    <t>Desai</t>
  </si>
  <si>
    <t>English:92</t>
  </si>
  <si>
    <t>Maths:95</t>
  </si>
  <si>
    <t>Om</t>
  </si>
  <si>
    <t>Prakash</t>
  </si>
  <si>
    <t>English:74</t>
  </si>
  <si>
    <t>Maths:77</t>
  </si>
  <si>
    <t>Siya</t>
  </si>
  <si>
    <t>Jain</t>
  </si>
  <si>
    <t>English:80</t>
  </si>
  <si>
    <t>Maths:84</t>
  </si>
  <si>
    <t>Manav</t>
  </si>
  <si>
    <t>Arora</t>
  </si>
  <si>
    <t>English:57</t>
  </si>
  <si>
    <t>Maths:60</t>
  </si>
  <si>
    <t>Navya</t>
  </si>
  <si>
    <t>Bose</t>
  </si>
  <si>
    <t>Maths:86</t>
  </si>
  <si>
    <t>Aryan</t>
  </si>
  <si>
    <t>Pillai</t>
  </si>
  <si>
    <t>English:69</t>
  </si>
  <si>
    <t>Maths:71</t>
  </si>
  <si>
    <t>Anika</t>
  </si>
  <si>
    <t>Ghosh</t>
  </si>
  <si>
    <t>English:96</t>
  </si>
  <si>
    <t>Maths:93</t>
  </si>
  <si>
    <t>Rudra</t>
  </si>
  <si>
    <t>Shetty</t>
  </si>
  <si>
    <t>English:51</t>
  </si>
  <si>
    <t>Maths:56</t>
  </si>
  <si>
    <t>Mira</t>
  </si>
  <si>
    <t>Saxena</t>
  </si>
  <si>
    <t>English:82</t>
  </si>
  <si>
    <t>Veer</t>
  </si>
  <si>
    <t>Anand</t>
  </si>
  <si>
    <t>English:77</t>
  </si>
  <si>
    <t>Maths:75</t>
  </si>
  <si>
    <t>Ahana</t>
  </si>
  <si>
    <t>Roy</t>
  </si>
  <si>
    <t>Dhruv</t>
  </si>
  <si>
    <t>Bhatia</t>
  </si>
  <si>
    <t>English:63</t>
  </si>
  <si>
    <t>Maths:67</t>
  </si>
  <si>
    <t>Saanvi</t>
  </si>
  <si>
    <t>Puri</t>
  </si>
  <si>
    <t>Parth</t>
  </si>
  <si>
    <t>Ahuja</t>
  </si>
  <si>
    <t>English:58</t>
  </si>
  <si>
    <t>Maths:62</t>
  </si>
  <si>
    <t>Prisha</t>
  </si>
  <si>
    <t>Dutta</t>
  </si>
  <si>
    <t>Kiaan</t>
  </si>
  <si>
    <t>Oberoi</t>
  </si>
  <si>
    <t>English:73</t>
  </si>
  <si>
    <t>Maths:76</t>
  </si>
  <si>
    <t>Ira</t>
  </si>
  <si>
    <t>Mukherjee</t>
  </si>
  <si>
    <t>Shivansh</t>
  </si>
  <si>
    <t>Sood</t>
  </si>
  <si>
    <t>English:47</t>
  </si>
  <si>
    <t>Maths:54</t>
  </si>
  <si>
    <t>Trisha</t>
  </si>
  <si>
    <t>Paul</t>
  </si>
  <si>
    <t>Advik</t>
  </si>
  <si>
    <t>Sen</t>
  </si>
  <si>
    <t>English:66</t>
  </si>
  <si>
    <t>Saloni</t>
  </si>
  <si>
    <t>Yadav</t>
  </si>
  <si>
    <t>Hriday</t>
  </si>
  <si>
    <t>English:75</t>
  </si>
  <si>
    <t>Maths:78</t>
  </si>
  <si>
    <t>Mahi</t>
  </si>
  <si>
    <t>Agarwal</t>
  </si>
  <si>
    <t>Maths:83</t>
  </si>
  <si>
    <t>Naksh</t>
  </si>
  <si>
    <t>Gill</t>
  </si>
  <si>
    <t>English:55</t>
  </si>
  <si>
    <t>Maths:59</t>
  </si>
  <si>
    <t>Shanaya</t>
  </si>
  <si>
    <t>Lobo</t>
  </si>
  <si>
    <t>Vihaan</t>
  </si>
  <si>
    <t>Tripathi</t>
  </si>
  <si>
    <t>English:70</t>
  </si>
  <si>
    <t>Akshara</t>
  </si>
  <si>
    <t>Nambiar</t>
  </si>
  <si>
    <t>Maths:97</t>
  </si>
  <si>
    <t>Rehan</t>
  </si>
  <si>
    <t>Qureshi</t>
  </si>
  <si>
    <t>English:61</t>
  </si>
  <si>
    <t>Maths:64</t>
  </si>
  <si>
    <t>Aditi</t>
  </si>
  <si>
    <t>Pranav</t>
  </si>
  <si>
    <t>Suri</t>
  </si>
  <si>
    <t>Maths:81</t>
  </si>
  <si>
    <t>Simran</t>
  </si>
  <si>
    <t>Kaur</t>
  </si>
  <si>
    <t>Agastya</t>
  </si>
  <si>
    <t>Chandra</t>
  </si>
  <si>
    <t>English:49</t>
  </si>
  <si>
    <t>Maths:53</t>
  </si>
  <si>
    <t>Anvi</t>
  </si>
  <si>
    <t>Bhardwaj</t>
  </si>
  <si>
    <t>Tejas</t>
  </si>
  <si>
    <t>Patil</t>
  </si>
  <si>
    <t>English:64</t>
  </si>
  <si>
    <t>Ritika</t>
  </si>
  <si>
    <t>Bedi</t>
  </si>
  <si>
    <t>Shaurya</t>
  </si>
  <si>
    <t>Goyal</t>
  </si>
  <si>
    <t>Nitya</t>
  </si>
  <si>
    <t>Venkatesh</t>
  </si>
  <si>
    <t>Arnav</t>
  </si>
  <si>
    <t>Choudhary</t>
  </si>
  <si>
    <t>English:52</t>
  </si>
  <si>
    <t>Maths:57</t>
  </si>
  <si>
    <t>Pihu</t>
  </si>
  <si>
    <t>Saran</t>
  </si>
  <si>
    <t>Anshul</t>
  </si>
  <si>
    <t>Tiwari</t>
  </si>
  <si>
    <t>Salma</t>
  </si>
  <si>
    <t>Sheikh</t>
  </si>
  <si>
    <t>Kushagra</t>
  </si>
  <si>
    <t>Mittal</t>
  </si>
  <si>
    <t>Maths:79</t>
  </si>
  <si>
    <t>Jhanvi</t>
  </si>
  <si>
    <t>Parmar</t>
  </si>
  <si>
    <t>Raghav</t>
  </si>
  <si>
    <t>Batra</t>
  </si>
  <si>
    <t>English:60</t>
  </si>
  <si>
    <t>Maths:65</t>
  </si>
  <si>
    <t>Shruti</t>
  </si>
  <si>
    <t>Naidu</t>
  </si>
  <si>
    <t>Abeer</t>
  </si>
  <si>
    <t>Lal</t>
  </si>
  <si>
    <t>Muskan</t>
  </si>
  <si>
    <t>Saini</t>
  </si>
  <si>
    <t>Chirag</t>
  </si>
  <si>
    <t>Wadhwa</t>
  </si>
  <si>
    <t>English:46</t>
  </si>
  <si>
    <t>Maths:51</t>
  </si>
  <si>
    <t>Vanya</t>
  </si>
  <si>
    <t>Pratyush</t>
  </si>
  <si>
    <t>Khushi</t>
  </si>
  <si>
    <t>Maths:98</t>
  </si>
  <si>
    <t>Naman</t>
  </si>
  <si>
    <t>Bhat</t>
  </si>
  <si>
    <t>Shreya</t>
  </si>
  <si>
    <t>ROHAN</t>
  </si>
  <si>
    <t>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</si>
</sst>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/>
    <xf numFmtId="9" fontId="0" fillId="0" borderId="1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Font="1" applyBorder="1"/>
    <xf numFmtId="0" fontId="0" fillId="0" borderId="0" xfId="0" applyBorder="1"/>
    <xf numFmtId="0" fontId="0" fillId="0" borderId="2" xfId="0" applyFont="1" applyBorder="1" applyAlignment="1">
      <alignment horizontal="center" vertical="center"/>
    </xf>
    <xf numFmtId="0" fontId="0" fillId="0" borderId="2" xfId="0" applyFont="1" applyBorder="1"/>
    <xf numFmtId="0" fontId="0" fillId="0" borderId="1" xfId="0" applyBorder="1"/>
    <xf numFmtId="9" fontId="0" fillId="0" borderId="1" xfId="0" applyNumberFormat="1" applyBorder="1"/>
    <xf numFmtId="9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"/>
  <sheetViews>
    <sheetView workbookViewId="0"/>
  </sheetViews>
  <sheetFormatPr defaultRowHeight="15"/>
  <cols>
    <col min="1" max="9" width="20.7109375" style="1" customWidth="1"/>
  </cols>
  <sheetData>
    <row r="1" spans="1:9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0.25" customHeight="1">
      <c r="A2" s="1" t="s">
        <v>9</v>
      </c>
      <c r="B2" s="1" t="s">
        <v>10</v>
      </c>
      <c r="C2" s="1" t="s">
        <v>11</v>
      </c>
      <c r="D2" s="1" t="s">
        <v>12</v>
      </c>
      <c r="E2" s="1">
        <v>78</v>
      </c>
      <c r="F2" s="1">
        <v>85</v>
      </c>
      <c r="G2" s="1">
        <v>72</v>
      </c>
      <c r="H2" s="1">
        <v>90</v>
      </c>
      <c r="I2" s="2">
        <v>0.92</v>
      </c>
    </row>
    <row r="3" spans="1:9" ht="20.25" customHeight="1">
      <c r="A3" s="1" t="s">
        <v>13</v>
      </c>
      <c r="B3" s="1" t="s">
        <v>14</v>
      </c>
      <c r="C3" s="1" t="s">
        <v>11</v>
      </c>
      <c r="D3" s="1" t="s">
        <v>15</v>
      </c>
      <c r="E3" s="1">
        <v>65</v>
      </c>
      <c r="F3" s="1">
        <v>71</v>
      </c>
      <c r="G3" s="1">
        <v>68</v>
      </c>
      <c r="H3" s="1">
        <v>75</v>
      </c>
      <c r="I3" s="2">
        <v>0.87</v>
      </c>
    </row>
    <row r="4" spans="1:9" ht="20.25" customHeight="1">
      <c r="A4" s="1" t="s">
        <v>16</v>
      </c>
      <c r="B4" s="1" t="s">
        <v>17</v>
      </c>
      <c r="C4" s="1" t="s">
        <v>18</v>
      </c>
      <c r="D4" s="1" t="s">
        <v>12</v>
      </c>
      <c r="E4" s="1">
        <v>42</v>
      </c>
      <c r="F4" s="1">
        <v>55</v>
      </c>
      <c r="G4" s="1">
        <v>48</v>
      </c>
      <c r="H4" s="1">
        <v>61</v>
      </c>
      <c r="I4" s="2">
        <v>0.74</v>
      </c>
    </row>
    <row r="5" spans="1:9" ht="20.25" customHeight="1">
      <c r="A5" s="1" t="s">
        <v>19</v>
      </c>
      <c r="B5" s="1" t="s">
        <v>20</v>
      </c>
      <c r="C5" s="1" t="s">
        <v>21</v>
      </c>
      <c r="D5" s="1" t="s">
        <v>15</v>
      </c>
      <c r="E5" s="1">
        <v>91</v>
      </c>
      <c r="F5" s="1">
        <v>88</v>
      </c>
      <c r="G5" s="1">
        <v>94</v>
      </c>
      <c r="H5" s="1">
        <v>96</v>
      </c>
      <c r="I5" s="2">
        <v>0.98</v>
      </c>
    </row>
    <row r="6" spans="1:9" ht="20.25" customHeight="1">
      <c r="A6" s="1" t="s">
        <v>22</v>
      </c>
      <c r="B6" s="1" t="s">
        <v>23</v>
      </c>
      <c r="C6" s="1" t="s">
        <v>18</v>
      </c>
      <c r="D6" s="1" t="s">
        <v>12</v>
      </c>
      <c r="E6" s="1">
        <v>56</v>
      </c>
      <c r="F6" s="1">
        <v>63</v>
      </c>
      <c r="G6" s="1">
        <v>59</v>
      </c>
      <c r="H6" s="1">
        <v>70</v>
      </c>
      <c r="I6" s="2">
        <v>0.81</v>
      </c>
    </row>
    <row r="7" spans="1:9" ht="20.25" customHeight="1">
      <c r="A7" s="1" t="s">
        <v>24</v>
      </c>
      <c r="B7" s="1" t="s">
        <v>25</v>
      </c>
      <c r="C7" s="1" t="s">
        <v>11</v>
      </c>
      <c r="D7" s="1" t="s">
        <v>15</v>
      </c>
      <c r="E7" s="1">
        <v>84</v>
      </c>
      <c r="F7" s="1">
        <v>79</v>
      </c>
      <c r="G7" s="1">
        <v>88</v>
      </c>
      <c r="H7" s="1">
        <v>91</v>
      </c>
      <c r="I7" s="2">
        <v>0.95</v>
      </c>
    </row>
    <row r="8" spans="1:9" ht="20.25" customHeight="1">
      <c r="A8" s="1" t="s">
        <v>26</v>
      </c>
      <c r="B8" s="1" t="s">
        <v>27</v>
      </c>
      <c r="C8" s="1" t="s">
        <v>21</v>
      </c>
      <c r="D8" s="1" t="s">
        <v>12</v>
      </c>
      <c r="E8" s="1">
        <v>38</v>
      </c>
      <c r="F8" s="1">
        <v>45</v>
      </c>
      <c r="G8" s="1">
        <v>41</v>
      </c>
      <c r="H8" s="1">
        <v>52</v>
      </c>
      <c r="I8" s="2">
        <v>0.69</v>
      </c>
    </row>
    <row r="9" spans="1:9" ht="20.25" customHeight="1">
      <c r="A9" s="1" t="s">
        <v>28</v>
      </c>
      <c r="B9" s="1" t="s">
        <v>29</v>
      </c>
      <c r="C9" s="1" t="s">
        <v>18</v>
      </c>
      <c r="D9" s="1" t="s">
        <v>15</v>
      </c>
      <c r="E9" s="1">
        <v>73</v>
      </c>
      <c r="F9" s="1">
        <v>68</v>
      </c>
      <c r="G9" s="1">
        <v>76</v>
      </c>
      <c r="H9" s="1">
        <v>82</v>
      </c>
      <c r="I9" s="2">
        <v>0.89</v>
      </c>
    </row>
    <row r="10" spans="1:9" ht="20.25" customHeight="1">
      <c r="A10" s="1" t="s">
        <v>30</v>
      </c>
      <c r="B10" s="1" t="s">
        <v>31</v>
      </c>
      <c r="C10" s="1" t="s">
        <v>11</v>
      </c>
      <c r="D10" s="1" t="s">
        <v>12</v>
      </c>
      <c r="E10" s="1">
        <v>95</v>
      </c>
      <c r="F10" s="1">
        <v>92</v>
      </c>
      <c r="G10" s="1">
        <v>89</v>
      </c>
      <c r="H10" s="1">
        <v>97</v>
      </c>
      <c r="I10" s="2">
        <v>0.99</v>
      </c>
    </row>
    <row r="11" spans="1:9" ht="20.25" customHeight="1">
      <c r="A11" s="1" t="s">
        <v>32</v>
      </c>
      <c r="B11" s="1" t="s">
        <v>33</v>
      </c>
      <c r="C11" s="1" t="s">
        <v>21</v>
      </c>
      <c r="D11" s="1" t="s">
        <v>15</v>
      </c>
      <c r="E11" s="1">
        <v>61</v>
      </c>
      <c r="F11" s="1">
        <v>57</v>
      </c>
      <c r="G11" s="1">
        <v>64</v>
      </c>
      <c r="H11" s="1">
        <v>69</v>
      </c>
      <c r="I11" s="2">
        <v>0.78</v>
      </c>
    </row>
    <row r="12" spans="1:9" ht="20.25" customHeight="1">
      <c r="A12" s="1" t="s">
        <v>34</v>
      </c>
      <c r="B12" s="1" t="s">
        <v>35</v>
      </c>
      <c r="C12" s="1" t="s">
        <v>18</v>
      </c>
      <c r="D12" s="1" t="s">
        <v>12</v>
      </c>
      <c r="E12" s="1">
        <v>82</v>
      </c>
      <c r="F12" s="1">
        <v>86</v>
      </c>
      <c r="G12" s="1">
        <v>79</v>
      </c>
      <c r="H12" s="1">
        <v>88</v>
      </c>
      <c r="I12" s="2">
        <v>0.93</v>
      </c>
    </row>
    <row r="13" spans="1:9" ht="20.25" customHeight="1">
      <c r="A13" s="1" t="s">
        <v>36</v>
      </c>
      <c r="B13" s="1" t="s">
        <v>37</v>
      </c>
      <c r="C13" s="1" t="s">
        <v>11</v>
      </c>
      <c r="D13" s="1" t="s">
        <v>15</v>
      </c>
      <c r="E13" s="1">
        <v>88</v>
      </c>
      <c r="F13" s="1">
        <v>91</v>
      </c>
      <c r="G13" s="1">
        <v>85</v>
      </c>
      <c r="H13" s="1">
        <v>94</v>
      </c>
      <c r="I13" s="2">
        <v>0.97</v>
      </c>
    </row>
    <row r="14" spans="1:9" ht="20.25" customHeight="1">
      <c r="A14" s="1" t="s">
        <v>38</v>
      </c>
      <c r="B14" s="1" t="s">
        <v>39</v>
      </c>
      <c r="C14" s="1" t="s">
        <v>21</v>
      </c>
      <c r="D14" s="1" t="s">
        <v>12</v>
      </c>
      <c r="E14" s="1">
        <v>47</v>
      </c>
      <c r="F14" s="1">
        <v>52</v>
      </c>
      <c r="G14" s="1">
        <v>44</v>
      </c>
      <c r="H14" s="1">
        <v>58</v>
      </c>
      <c r="I14" s="2">
        <v>0.72</v>
      </c>
    </row>
    <row r="15" spans="1:9" ht="20.25" customHeight="1">
      <c r="A15" s="1" t="s">
        <v>40</v>
      </c>
      <c r="B15" s="1" t="s">
        <v>41</v>
      </c>
      <c r="C15" s="1" t="s">
        <v>18</v>
      </c>
      <c r="D15" s="1" t="s">
        <v>15</v>
      </c>
      <c r="E15" s="1">
        <v>76</v>
      </c>
      <c r="F15" s="1">
        <v>81</v>
      </c>
      <c r="G15" s="1">
        <v>73</v>
      </c>
      <c r="H15" s="1">
        <v>79</v>
      </c>
      <c r="I15" s="2">
        <v>0.9</v>
      </c>
    </row>
    <row r="16" spans="1:9" ht="20.25" customHeight="1">
      <c r="A16" s="1" t="s">
        <v>42</v>
      </c>
      <c r="B16" s="1" t="s">
        <v>43</v>
      </c>
      <c r="C16" s="1" t="s">
        <v>11</v>
      </c>
      <c r="D16" s="1" t="s">
        <v>12</v>
      </c>
      <c r="E16" s="1">
        <v>69</v>
      </c>
      <c r="F16" s="1">
        <v>74</v>
      </c>
      <c r="G16" s="1">
        <v>67</v>
      </c>
      <c r="H16" s="1">
        <v>72</v>
      </c>
      <c r="I16" s="2">
        <v>0.84</v>
      </c>
    </row>
    <row r="17" spans="1:9" ht="20.25" customHeight="1">
      <c r="A17" s="1" t="s">
        <v>44</v>
      </c>
      <c r="B17" s="1" t="s">
        <v>45</v>
      </c>
      <c r="C17" s="1" t="s">
        <v>21</v>
      </c>
      <c r="D17" s="1" t="s">
        <v>15</v>
      </c>
      <c r="E17" s="1">
        <v>93</v>
      </c>
      <c r="F17" s="1">
        <v>89</v>
      </c>
      <c r="G17" s="1">
        <v>96</v>
      </c>
      <c r="H17" s="1">
        <v>91</v>
      </c>
      <c r="I17" s="2">
        <v>0.98</v>
      </c>
    </row>
    <row r="18" spans="1:9" ht="20.25" customHeight="1">
      <c r="A18" s="1" t="s">
        <v>46</v>
      </c>
      <c r="B18" s="1" t="s">
        <v>47</v>
      </c>
      <c r="C18" s="1" t="s">
        <v>18</v>
      </c>
      <c r="D18" s="1" t="s">
        <v>12</v>
      </c>
      <c r="E18" s="1">
        <v>54</v>
      </c>
      <c r="F18" s="1">
        <v>49</v>
      </c>
      <c r="G18" s="1">
        <v>57</v>
      </c>
      <c r="H18" s="1">
        <v>63</v>
      </c>
      <c r="I18" s="2">
        <v>0.76</v>
      </c>
    </row>
    <row r="19" spans="1:9" ht="20.25" customHeight="1">
      <c r="A19" s="1" t="s">
        <v>48</v>
      </c>
      <c r="B19" s="1" t="s">
        <v>49</v>
      </c>
      <c r="C19" s="1" t="s">
        <v>11</v>
      </c>
      <c r="D19" s="1" t="s">
        <v>15</v>
      </c>
      <c r="E19" s="1">
        <v>81</v>
      </c>
      <c r="F19" s="1">
        <v>77</v>
      </c>
      <c r="G19" s="1">
        <v>84</v>
      </c>
      <c r="H19" s="1">
        <v>86</v>
      </c>
      <c r="I19" s="2">
        <v>0.91</v>
      </c>
    </row>
    <row r="20" spans="1:9" ht="20.25" customHeight="1">
      <c r="A20" s="1" t="s">
        <v>50</v>
      </c>
      <c r="B20" s="1" t="s">
        <v>51</v>
      </c>
      <c r="C20" s="1" t="s">
        <v>21</v>
      </c>
      <c r="D20" s="1" t="s">
        <v>12</v>
      </c>
      <c r="E20" s="1">
        <v>35</v>
      </c>
      <c r="F20" s="1">
        <v>42</v>
      </c>
      <c r="G20" s="1">
        <v>39</v>
      </c>
      <c r="H20" s="1">
        <v>48</v>
      </c>
      <c r="I20" s="2">
        <v>0.65</v>
      </c>
    </row>
    <row r="21" spans="1:9" ht="20.25" customHeight="1">
      <c r="A21" s="1" t="s">
        <v>52</v>
      </c>
      <c r="B21" s="1" t="s">
        <v>53</v>
      </c>
      <c r="C21" s="1" t="s">
        <v>18</v>
      </c>
      <c r="D21" s="1" t="s">
        <v>15</v>
      </c>
      <c r="E21" s="1">
        <v>72</v>
      </c>
      <c r="F21" s="1">
        <v>75</v>
      </c>
      <c r="G21" s="1">
        <v>70</v>
      </c>
      <c r="H21" s="1">
        <v>78</v>
      </c>
      <c r="I21" s="2">
        <v>0.88</v>
      </c>
    </row>
    <row r="22" spans="1:9" ht="20.25" customHeight="1">
      <c r="A22" s="1" t="s">
        <v>54</v>
      </c>
      <c r="B22" s="1" t="s">
        <v>55</v>
      </c>
      <c r="C22" s="1" t="s">
        <v>11</v>
      </c>
      <c r="D22" s="1" t="s">
        <v>12</v>
      </c>
      <c r="E22" s="1">
        <v>89</v>
      </c>
      <c r="F22" s="1">
        <v>94</v>
      </c>
      <c r="G22" s="1">
        <v>91</v>
      </c>
      <c r="H22" s="1">
        <v>93</v>
      </c>
      <c r="I22" s="2">
        <v>0.96</v>
      </c>
    </row>
    <row r="23" spans="1:9" ht="20.25" customHeight="1">
      <c r="A23" s="1" t="s">
        <v>56</v>
      </c>
      <c r="B23" s="1" t="s">
        <v>57</v>
      </c>
      <c r="C23" s="1" t="s">
        <v>21</v>
      </c>
      <c r="D23" s="1" t="s">
        <v>15</v>
      </c>
      <c r="E23" s="1">
        <v>64</v>
      </c>
      <c r="F23" s="1">
        <v>69</v>
      </c>
      <c r="G23" s="1">
        <v>62</v>
      </c>
      <c r="H23" s="1">
        <v>71</v>
      </c>
      <c r="I23" s="2">
        <v>0.82</v>
      </c>
    </row>
    <row r="24" spans="1:9" ht="20.25" customHeight="1">
      <c r="A24" s="1" t="s">
        <v>58</v>
      </c>
      <c r="B24" s="1" t="s">
        <v>59</v>
      </c>
      <c r="C24" s="1" t="s">
        <v>18</v>
      </c>
      <c r="D24" s="1" t="s">
        <v>12</v>
      </c>
      <c r="E24" s="1">
        <v>58</v>
      </c>
      <c r="F24" s="1">
        <v>61</v>
      </c>
      <c r="G24" s="1">
        <v>55</v>
      </c>
      <c r="H24" s="1">
        <v>67</v>
      </c>
      <c r="I24" s="2">
        <v>0.79</v>
      </c>
    </row>
    <row r="25" spans="1:9" ht="20.25" customHeight="1">
      <c r="A25" s="1" t="s">
        <v>60</v>
      </c>
      <c r="B25" s="1" t="s">
        <v>61</v>
      </c>
      <c r="C25" s="1" t="s">
        <v>11</v>
      </c>
      <c r="D25" s="1" t="s">
        <v>15</v>
      </c>
      <c r="E25" s="1">
        <v>77</v>
      </c>
      <c r="F25" s="1">
        <v>83</v>
      </c>
      <c r="G25" s="1">
        <v>80</v>
      </c>
      <c r="H25" s="1">
        <v>85</v>
      </c>
      <c r="I25" s="2">
        <v>0.94</v>
      </c>
    </row>
    <row r="26" spans="1:9" ht="20.25" customHeight="1">
      <c r="A26" s="1" t="s">
        <v>62</v>
      </c>
      <c r="B26" s="1" t="s">
        <v>63</v>
      </c>
      <c r="C26" s="1" t="s">
        <v>21</v>
      </c>
      <c r="D26" s="1" t="s">
        <v>12</v>
      </c>
      <c r="E26" s="1">
        <v>44</v>
      </c>
      <c r="F26" s="1">
        <v>51</v>
      </c>
      <c r="G26" s="1">
        <v>46</v>
      </c>
      <c r="H26" s="1">
        <v>55</v>
      </c>
      <c r="I26" s="2">
        <v>0.73</v>
      </c>
    </row>
    <row r="27" spans="1:9" ht="20.25" customHeight="1">
      <c r="A27" s="1" t="s">
        <v>64</v>
      </c>
      <c r="B27" s="1" t="s">
        <v>65</v>
      </c>
      <c r="C27" s="1" t="s">
        <v>18</v>
      </c>
      <c r="D27" s="1" t="s">
        <v>15</v>
      </c>
      <c r="E27" s="1">
        <v>86</v>
      </c>
      <c r="F27" s="1">
        <v>78</v>
      </c>
      <c r="G27" s="1">
        <v>89</v>
      </c>
      <c r="H27" s="1">
        <v>92</v>
      </c>
      <c r="I27" s="2">
        <v>0.95</v>
      </c>
    </row>
    <row r="28" spans="1:9" ht="20.25" customHeight="1">
      <c r="A28" s="1" t="s">
        <v>66</v>
      </c>
      <c r="B28" s="1" t="s">
        <v>67</v>
      </c>
      <c r="C28" s="1" t="s">
        <v>11</v>
      </c>
      <c r="D28" s="1" t="s">
        <v>12</v>
      </c>
      <c r="E28" s="1">
        <v>71</v>
      </c>
      <c r="F28" s="1">
        <v>66</v>
      </c>
      <c r="G28" s="1">
        <v>74</v>
      </c>
      <c r="H28" s="1">
        <v>80</v>
      </c>
      <c r="I28" s="2">
        <v>0.86</v>
      </c>
    </row>
    <row r="29" spans="1:9" ht="20.25" customHeight="1">
      <c r="A29" s="1" t="s">
        <v>68</v>
      </c>
      <c r="B29" s="1" t="s">
        <v>69</v>
      </c>
      <c r="C29" s="1" t="s">
        <v>21</v>
      </c>
      <c r="D29" s="1" t="s">
        <v>15</v>
      </c>
      <c r="E29" s="1">
        <v>92</v>
      </c>
      <c r="F29" s="1">
        <v>95</v>
      </c>
      <c r="G29" s="1">
        <v>90</v>
      </c>
      <c r="H29" s="1">
        <v>97</v>
      </c>
      <c r="I29" s="2">
        <v>0.99</v>
      </c>
    </row>
    <row r="30" spans="1:9" ht="20.25" customHeight="1">
      <c r="A30" s="1" t="s">
        <v>70</v>
      </c>
      <c r="B30" s="1" t="s">
        <v>71</v>
      </c>
      <c r="C30" s="1" t="s">
        <v>18</v>
      </c>
      <c r="D30" s="1" t="s">
        <v>12</v>
      </c>
      <c r="E30" s="1">
        <v>49</v>
      </c>
      <c r="F30" s="1">
        <v>58</v>
      </c>
      <c r="G30" s="1">
        <v>52</v>
      </c>
      <c r="H30" s="1">
        <v>60</v>
      </c>
      <c r="I30" s="2">
        <v>0.75</v>
      </c>
    </row>
    <row r="31" spans="1:9" ht="20.25" customHeight="1">
      <c r="A31" s="1" t="s">
        <v>72</v>
      </c>
      <c r="B31" s="1" t="s">
        <v>73</v>
      </c>
      <c r="C31" s="1" t="s">
        <v>11</v>
      </c>
      <c r="D31" s="1" t="s">
        <v>15</v>
      </c>
      <c r="E31" s="1">
        <v>68</v>
      </c>
      <c r="F31" s="1">
        <v>73</v>
      </c>
      <c r="G31" s="1">
        <v>71</v>
      </c>
      <c r="H31" s="1">
        <v>76</v>
      </c>
      <c r="I31" s="2">
        <v>0.85</v>
      </c>
    </row>
    <row r="32" spans="1:9" ht="20.25" customHeight="1">
      <c r="A32" s="1" t="s">
        <v>74</v>
      </c>
      <c r="B32" s="1" t="s">
        <v>75</v>
      </c>
      <c r="C32" s="1" t="s">
        <v>21</v>
      </c>
      <c r="D32" s="1" t="s">
        <v>12</v>
      </c>
      <c r="E32" s="1">
        <v>79</v>
      </c>
      <c r="F32" s="1">
        <v>82</v>
      </c>
      <c r="G32" s="1">
        <v>77</v>
      </c>
      <c r="H32" s="1">
        <v>84</v>
      </c>
      <c r="I32" s="2">
        <v>0.91</v>
      </c>
    </row>
    <row r="33" spans="1:9" ht="20.25" customHeight="1">
      <c r="A33" s="1" t="s">
        <v>76</v>
      </c>
      <c r="B33" s="1" t="s">
        <v>77</v>
      </c>
      <c r="C33" s="1" t="s">
        <v>18</v>
      </c>
      <c r="D33" s="1" t="s">
        <v>15</v>
      </c>
      <c r="E33" s="1">
        <v>85</v>
      </c>
      <c r="F33" s="1">
        <v>87</v>
      </c>
      <c r="G33" s="1">
        <v>83</v>
      </c>
      <c r="H33" s="1">
        <v>89</v>
      </c>
      <c r="I33" s="2">
        <v>0.96</v>
      </c>
    </row>
    <row r="34" spans="1:9" ht="20.25" customHeight="1">
      <c r="A34" s="1" t="s">
        <v>78</v>
      </c>
      <c r="B34" s="1" t="s">
        <v>79</v>
      </c>
      <c r="C34" s="1" t="s">
        <v>11</v>
      </c>
      <c r="D34" s="1" t="s">
        <v>12</v>
      </c>
      <c r="E34" s="1">
        <v>52</v>
      </c>
      <c r="F34" s="1">
        <v>47</v>
      </c>
      <c r="G34" s="1">
        <v>54</v>
      </c>
      <c r="H34" s="1">
        <v>62</v>
      </c>
      <c r="I34" s="2">
        <v>0.77</v>
      </c>
    </row>
    <row r="35" spans="1:9" ht="20.25" customHeight="1">
      <c r="A35" s="1" t="s">
        <v>80</v>
      </c>
      <c r="B35" s="1" t="s">
        <v>81</v>
      </c>
      <c r="C35" s="1" t="s">
        <v>21</v>
      </c>
      <c r="D35" s="1" t="s">
        <v>15</v>
      </c>
      <c r="E35" s="1">
        <v>74</v>
      </c>
      <c r="F35" s="1">
        <v>79</v>
      </c>
      <c r="G35" s="1">
        <v>76</v>
      </c>
      <c r="H35" s="1">
        <v>81</v>
      </c>
      <c r="I35" s="2">
        <v>0.89</v>
      </c>
    </row>
    <row r="36" spans="1:9" ht="20.25" customHeight="1">
      <c r="A36" s="1" t="s">
        <v>82</v>
      </c>
      <c r="B36" s="1" t="s">
        <v>83</v>
      </c>
      <c r="C36" s="1" t="s">
        <v>18</v>
      </c>
      <c r="D36" s="1" t="s">
        <v>12</v>
      </c>
      <c r="E36" s="1">
        <v>63</v>
      </c>
      <c r="F36" s="1">
        <v>59</v>
      </c>
      <c r="G36" s="1">
        <v>66</v>
      </c>
      <c r="H36" s="1">
        <v>70</v>
      </c>
      <c r="I36" s="2">
        <v>0.8</v>
      </c>
    </row>
    <row r="37" spans="1:9" ht="20.25" customHeight="1">
      <c r="A37" s="1" t="s">
        <v>84</v>
      </c>
      <c r="B37" s="1" t="s">
        <v>85</v>
      </c>
      <c r="C37" s="1" t="s">
        <v>11</v>
      </c>
      <c r="D37" s="1" t="s">
        <v>15</v>
      </c>
      <c r="E37" s="1">
        <v>97</v>
      </c>
      <c r="F37" s="1">
        <v>93</v>
      </c>
      <c r="G37" s="1">
        <v>95</v>
      </c>
      <c r="H37" s="1">
        <v>98</v>
      </c>
      <c r="I37" s="2">
        <v>1</v>
      </c>
    </row>
    <row r="38" spans="1:9" ht="20.25" customHeight="1">
      <c r="A38" s="1" t="s">
        <v>86</v>
      </c>
      <c r="B38" s="1" t="s">
        <v>87</v>
      </c>
      <c r="C38" s="1" t="s">
        <v>21</v>
      </c>
      <c r="D38" s="1" t="s">
        <v>12</v>
      </c>
      <c r="E38" s="1">
        <v>41</v>
      </c>
      <c r="F38" s="1">
        <v>48</v>
      </c>
      <c r="G38" s="1">
        <v>45</v>
      </c>
      <c r="H38" s="1">
        <v>53</v>
      </c>
      <c r="I38" s="2">
        <v>0.71</v>
      </c>
    </row>
    <row r="39" spans="1:9" ht="20.25" customHeight="1">
      <c r="A39" s="1" t="s">
        <v>88</v>
      </c>
      <c r="B39" s="1" t="s">
        <v>89</v>
      </c>
      <c r="C39" s="1" t="s">
        <v>18</v>
      </c>
      <c r="D39" s="1" t="s">
        <v>15</v>
      </c>
      <c r="E39" s="1">
        <v>80</v>
      </c>
      <c r="F39" s="1">
        <v>84</v>
      </c>
      <c r="G39" s="1">
        <v>78</v>
      </c>
      <c r="H39" s="1">
        <v>87</v>
      </c>
      <c r="I39" s="2">
        <v>0.93</v>
      </c>
    </row>
    <row r="40" spans="1:9" ht="20.25" customHeight="1">
      <c r="A40" s="1" t="s">
        <v>90</v>
      </c>
      <c r="B40" s="1" t="s">
        <v>91</v>
      </c>
      <c r="C40" s="1" t="s">
        <v>11</v>
      </c>
      <c r="D40" s="1" t="s">
        <v>12</v>
      </c>
      <c r="E40" s="1">
        <v>67</v>
      </c>
      <c r="F40" s="1">
        <v>72</v>
      </c>
      <c r="G40" s="1">
        <v>69</v>
      </c>
      <c r="H40" s="1">
        <v>74</v>
      </c>
      <c r="I40" s="2">
        <v>0.83</v>
      </c>
    </row>
    <row r="41" spans="1:9" ht="20.25" customHeight="1">
      <c r="A41" s="1" t="s">
        <v>92</v>
      </c>
      <c r="B41" s="1" t="s">
        <v>93</v>
      </c>
      <c r="C41" s="1" t="s">
        <v>21</v>
      </c>
      <c r="D41" s="1" t="s">
        <v>15</v>
      </c>
      <c r="E41" s="1">
        <v>90</v>
      </c>
      <c r="F41" s="1">
        <v>86</v>
      </c>
      <c r="G41" s="1">
        <v>92</v>
      </c>
      <c r="H41" s="1">
        <v>95</v>
      </c>
      <c r="I41" s="2">
        <v>0.97</v>
      </c>
    </row>
    <row r="42" spans="1:9" ht="20.25" customHeight="1">
      <c r="A42" s="1" t="s">
        <v>94</v>
      </c>
      <c r="B42" s="1" t="s">
        <v>95</v>
      </c>
      <c r="C42" s="1" t="s">
        <v>18</v>
      </c>
      <c r="D42" s="1" t="s">
        <v>12</v>
      </c>
      <c r="E42" s="1">
        <v>57</v>
      </c>
      <c r="F42" s="1">
        <v>64</v>
      </c>
      <c r="G42" s="1">
        <v>61</v>
      </c>
      <c r="H42" s="1">
        <v>68</v>
      </c>
      <c r="I42" s="2">
        <v>0.78</v>
      </c>
    </row>
    <row r="43" spans="1:9" ht="20.25" customHeight="1">
      <c r="A43" s="1" t="s">
        <v>96</v>
      </c>
      <c r="B43" s="1" t="s">
        <v>97</v>
      </c>
      <c r="C43" s="1" t="s">
        <v>11</v>
      </c>
      <c r="D43" s="1" t="s">
        <v>15</v>
      </c>
      <c r="E43" s="1">
        <v>83</v>
      </c>
      <c r="F43" s="1">
        <v>80</v>
      </c>
      <c r="G43" s="1">
        <v>86</v>
      </c>
      <c r="H43" s="1">
        <v>88</v>
      </c>
      <c r="I43" s="2">
        <v>0.92</v>
      </c>
    </row>
    <row r="44" spans="1:9" ht="20.25" customHeight="1">
      <c r="A44" s="1" t="s">
        <v>98</v>
      </c>
      <c r="B44" s="1" t="s">
        <v>99</v>
      </c>
      <c r="C44" s="1" t="s">
        <v>21</v>
      </c>
      <c r="D44" s="1" t="s">
        <v>12</v>
      </c>
      <c r="E44" s="1">
        <v>46</v>
      </c>
      <c r="F44" s="1">
        <v>53</v>
      </c>
      <c r="G44" s="1">
        <v>49</v>
      </c>
      <c r="H44" s="1">
        <v>57</v>
      </c>
      <c r="I44" s="2">
        <v>0.7</v>
      </c>
    </row>
    <row r="45" spans="1:9" ht="20.25" customHeight="1">
      <c r="A45" s="1" t="s">
        <v>100</v>
      </c>
      <c r="B45" s="1" t="s">
        <v>101</v>
      </c>
      <c r="C45" s="1" t="s">
        <v>18</v>
      </c>
      <c r="D45" s="1" t="s">
        <v>15</v>
      </c>
      <c r="E45" s="1">
        <v>75</v>
      </c>
      <c r="F45" s="1">
        <v>71</v>
      </c>
      <c r="G45" s="1">
        <v>79</v>
      </c>
      <c r="H45" s="1">
        <v>83</v>
      </c>
      <c r="I45" s="2">
        <v>0.88</v>
      </c>
    </row>
    <row r="46" spans="1:9" ht="20.25" customHeight="1">
      <c r="A46" s="1" t="s">
        <v>102</v>
      </c>
      <c r="B46" s="1" t="s">
        <v>103</v>
      </c>
      <c r="C46" s="1" t="s">
        <v>11</v>
      </c>
      <c r="D46" s="1" t="s">
        <v>12</v>
      </c>
      <c r="E46" s="1">
        <v>87</v>
      </c>
      <c r="F46" s="1">
        <v>90</v>
      </c>
      <c r="G46" s="1">
        <v>84</v>
      </c>
      <c r="H46" s="1">
        <v>91</v>
      </c>
      <c r="I46" s="2">
        <v>0.95</v>
      </c>
    </row>
    <row r="47" spans="1:9" ht="20.25" customHeight="1">
      <c r="A47" s="1" t="s">
        <v>104</v>
      </c>
      <c r="B47" s="1" t="s">
        <v>105</v>
      </c>
      <c r="C47" s="1" t="s">
        <v>21</v>
      </c>
      <c r="D47" s="1" t="s">
        <v>15</v>
      </c>
      <c r="E47" s="1">
        <v>69</v>
      </c>
      <c r="F47" s="1">
        <v>76</v>
      </c>
      <c r="G47" s="1">
        <v>72</v>
      </c>
      <c r="H47" s="1">
        <v>78</v>
      </c>
      <c r="I47" s="2">
        <v>0.86</v>
      </c>
    </row>
    <row r="48" spans="1:9" ht="20.25" customHeight="1">
      <c r="A48" s="1" t="s">
        <v>106</v>
      </c>
      <c r="B48" s="1" t="s">
        <v>107</v>
      </c>
      <c r="C48" s="1" t="s">
        <v>18</v>
      </c>
      <c r="D48" s="1" t="s">
        <v>12</v>
      </c>
      <c r="E48" s="1">
        <v>32</v>
      </c>
      <c r="F48" s="1">
        <v>39</v>
      </c>
      <c r="G48" s="1">
        <v>44</v>
      </c>
      <c r="H48" s="1">
        <v>47</v>
      </c>
      <c r="I48" s="2">
        <v>0.64</v>
      </c>
    </row>
    <row r="49" spans="1:9" ht="20.25" customHeight="1">
      <c r="A49" s="1" t="s">
        <v>108</v>
      </c>
      <c r="B49" s="1" t="s">
        <v>109</v>
      </c>
      <c r="C49" s="1" t="s">
        <v>11</v>
      </c>
      <c r="D49" s="1" t="s">
        <v>15</v>
      </c>
      <c r="E49" s="1">
        <v>94</v>
      </c>
      <c r="F49" s="1">
        <v>96</v>
      </c>
      <c r="G49" s="1">
        <v>91</v>
      </c>
      <c r="H49" s="1">
        <v>93</v>
      </c>
      <c r="I49" s="2">
        <v>0.99</v>
      </c>
    </row>
    <row r="50" spans="1:9" ht="20.25" customHeight="1">
      <c r="A50" s="1" t="s">
        <v>110</v>
      </c>
      <c r="B50" s="1" t="s">
        <v>111</v>
      </c>
      <c r="C50" s="1" t="s">
        <v>21</v>
      </c>
      <c r="D50" s="1" t="s">
        <v>12</v>
      </c>
      <c r="E50" s="1">
        <v>62</v>
      </c>
      <c r="F50" s="1">
        <v>68</v>
      </c>
      <c r="G50" s="1">
        <v>65</v>
      </c>
      <c r="H50" s="1">
        <v>73</v>
      </c>
      <c r="I50" s="2">
        <v>0.81</v>
      </c>
    </row>
    <row r="51" spans="1:9" ht="20.25" customHeight="1">
      <c r="A51" s="1" t="s">
        <v>112</v>
      </c>
      <c r="B51" s="1" t="s">
        <v>113</v>
      </c>
      <c r="C51" s="1" t="s">
        <v>18</v>
      </c>
      <c r="D51" s="1" t="s">
        <v>15</v>
      </c>
      <c r="E51" s="1">
        <v>78</v>
      </c>
      <c r="F51" s="1">
        <v>74</v>
      </c>
      <c r="G51" s="1">
        <v>82</v>
      </c>
      <c r="H51" s="1">
        <v>85</v>
      </c>
      <c r="I51" s="2">
        <v>0.9</v>
      </c>
    </row>
    <row r="52" spans="1:9" ht="20.25" customHeight="1">
      <c r="A52" s="1" t="s">
        <v>114</v>
      </c>
      <c r="B52" s="1" t="s">
        <v>115</v>
      </c>
      <c r="C52" s="1" t="s">
        <v>11</v>
      </c>
      <c r="D52" s="1" t="s">
        <v>12</v>
      </c>
      <c r="E52" s="1">
        <v>84</v>
      </c>
      <c r="F52" s="1">
        <v>89</v>
      </c>
      <c r="G52" s="1">
        <v>81</v>
      </c>
      <c r="H52" s="1">
        <v>86</v>
      </c>
      <c r="I52" s="2">
        <v>0.94</v>
      </c>
    </row>
    <row r="53" spans="1:9" ht="20.25" customHeight="1">
      <c r="A53" s="1" t="s">
        <v>116</v>
      </c>
      <c r="B53" s="1" t="s">
        <v>117</v>
      </c>
      <c r="C53" s="1" t="s">
        <v>21</v>
      </c>
      <c r="D53" s="1" t="s">
        <v>15</v>
      </c>
      <c r="E53" s="1">
        <v>59</v>
      </c>
      <c r="F53" s="1">
        <v>63</v>
      </c>
      <c r="G53" s="1">
        <v>58</v>
      </c>
      <c r="H53" s="1">
        <v>66</v>
      </c>
      <c r="I53" s="2">
        <v>0.77</v>
      </c>
    </row>
    <row r="54" spans="1:9" ht="20.25" customHeight="1">
      <c r="A54" s="1" t="s">
        <v>118</v>
      </c>
      <c r="B54" s="1" t="s">
        <v>119</v>
      </c>
      <c r="C54" s="1" t="s">
        <v>18</v>
      </c>
      <c r="D54" s="1" t="s">
        <v>12</v>
      </c>
      <c r="E54" s="1">
        <v>73</v>
      </c>
      <c r="F54" s="1">
        <v>70</v>
      </c>
      <c r="G54" s="1">
        <v>75</v>
      </c>
      <c r="H54" s="1">
        <v>79</v>
      </c>
      <c r="I54" s="2">
        <v>0.87</v>
      </c>
    </row>
    <row r="55" spans="1:9" ht="20.25" customHeight="1">
      <c r="A55" s="1" t="s">
        <v>120</v>
      </c>
      <c r="B55" s="1" t="s">
        <v>121</v>
      </c>
      <c r="C55" s="1" t="s">
        <v>11</v>
      </c>
      <c r="D55" s="1" t="s">
        <v>15</v>
      </c>
      <c r="E55" s="1">
        <v>91</v>
      </c>
      <c r="F55" s="1">
        <v>94</v>
      </c>
      <c r="G55" s="1">
        <v>89</v>
      </c>
      <c r="H55" s="1">
        <v>96</v>
      </c>
      <c r="I55" s="2">
        <v>0.98</v>
      </c>
    </row>
    <row r="56" spans="1:9" ht="20.25" customHeight="1">
      <c r="A56" s="1" t="s">
        <v>122</v>
      </c>
      <c r="B56" s="1" t="s">
        <v>123</v>
      </c>
      <c r="C56" s="1" t="s">
        <v>21</v>
      </c>
      <c r="D56" s="1" t="s">
        <v>12</v>
      </c>
      <c r="E56" s="1">
        <v>48</v>
      </c>
      <c r="F56" s="1">
        <v>55</v>
      </c>
      <c r="G56" s="1">
        <v>51</v>
      </c>
      <c r="H56" s="1">
        <v>59</v>
      </c>
      <c r="I56" s="2">
        <v>0.74</v>
      </c>
    </row>
    <row r="57" spans="1:9" ht="20.25" customHeight="1">
      <c r="A57" s="1" t="s">
        <v>124</v>
      </c>
      <c r="B57" s="1" t="s">
        <v>125</v>
      </c>
      <c r="C57" s="1" t="s">
        <v>18</v>
      </c>
      <c r="D57" s="1" t="s">
        <v>15</v>
      </c>
      <c r="E57" s="1">
        <v>82</v>
      </c>
      <c r="F57" s="1">
        <v>78</v>
      </c>
      <c r="G57" s="1">
        <v>85</v>
      </c>
      <c r="H57" s="1">
        <v>90</v>
      </c>
      <c r="I57" s="2">
        <v>0.93</v>
      </c>
    </row>
    <row r="58" spans="1:9" ht="20.25" customHeight="1">
      <c r="A58" s="1" t="s">
        <v>126</v>
      </c>
      <c r="B58" s="1" t="s">
        <v>127</v>
      </c>
      <c r="C58" s="1" t="s">
        <v>11</v>
      </c>
      <c r="D58" s="1" t="s">
        <v>12</v>
      </c>
      <c r="E58" s="1">
        <v>66</v>
      </c>
      <c r="F58" s="1">
        <v>71</v>
      </c>
      <c r="G58" s="1">
        <v>68</v>
      </c>
      <c r="H58" s="1">
        <v>75</v>
      </c>
      <c r="I58" s="2">
        <v>0.84</v>
      </c>
    </row>
    <row r="59" spans="1:9" ht="20.25" customHeight="1">
      <c r="A59" s="1" t="s">
        <v>128</v>
      </c>
      <c r="B59" s="1" t="s">
        <v>129</v>
      </c>
      <c r="C59" s="1" t="s">
        <v>21</v>
      </c>
      <c r="D59" s="1" t="s">
        <v>15</v>
      </c>
      <c r="E59" s="1">
        <v>89</v>
      </c>
      <c r="F59" s="1">
        <v>85</v>
      </c>
      <c r="G59" s="1">
        <v>93</v>
      </c>
      <c r="H59" s="1">
        <v>92</v>
      </c>
      <c r="I59" s="2">
        <v>0.97</v>
      </c>
    </row>
    <row r="60" spans="1:9" ht="20.25" customHeight="1">
      <c r="A60" s="1" t="s">
        <v>130</v>
      </c>
      <c r="B60" s="1" t="s">
        <v>131</v>
      </c>
      <c r="C60" s="1" t="s">
        <v>18</v>
      </c>
      <c r="D60" s="1" t="s">
        <v>12</v>
      </c>
      <c r="E60" s="1">
        <v>55</v>
      </c>
      <c r="F60" s="1">
        <v>60</v>
      </c>
      <c r="G60" s="1">
        <v>53</v>
      </c>
      <c r="H60" s="1">
        <v>64</v>
      </c>
      <c r="I60" s="2">
        <v>0.76</v>
      </c>
    </row>
    <row r="61" spans="1:9" ht="20.25" customHeight="1">
      <c r="A61" s="1" t="s">
        <v>132</v>
      </c>
      <c r="B61" s="1" t="s">
        <v>133</v>
      </c>
      <c r="C61" s="1" t="s">
        <v>11</v>
      </c>
      <c r="D61" s="1" t="s">
        <v>15</v>
      </c>
      <c r="E61" s="1">
        <v>76</v>
      </c>
      <c r="F61" s="1">
        <v>82</v>
      </c>
      <c r="G61" s="1">
        <v>79</v>
      </c>
      <c r="H61" s="1">
        <v>84</v>
      </c>
      <c r="I61" s="2">
        <v>0.91</v>
      </c>
    </row>
    <row r="62" spans="1:9" ht="20.25" customHeight="1">
      <c r="A62" s="1" t="s">
        <v>134</v>
      </c>
      <c r="B62" s="1" t="s">
        <v>135</v>
      </c>
      <c r="C62" s="1" t="s">
        <v>21</v>
      </c>
      <c r="D62" s="1" t="s">
        <v>12</v>
      </c>
      <c r="E62" s="1">
        <v>93</v>
      </c>
      <c r="F62" s="1">
        <v>90</v>
      </c>
      <c r="G62" s="1">
        <v>95</v>
      </c>
      <c r="H62" s="1">
        <v>97</v>
      </c>
      <c r="I62" s="2">
        <v>0.99</v>
      </c>
    </row>
    <row r="63" spans="1:9" ht="20.25" customHeight="1">
      <c r="A63" s="1" t="s">
        <v>136</v>
      </c>
      <c r="B63" s="1" t="s">
        <v>137</v>
      </c>
      <c r="C63" s="1" t="s">
        <v>18</v>
      </c>
      <c r="D63" s="1" t="s">
        <v>15</v>
      </c>
      <c r="E63" s="1">
        <v>71</v>
      </c>
      <c r="F63" s="1">
        <v>67</v>
      </c>
      <c r="G63" s="1">
        <v>73</v>
      </c>
      <c r="H63" s="1">
        <v>77</v>
      </c>
      <c r="I63" s="2">
        <v>0.85</v>
      </c>
    </row>
    <row r="64" spans="1:9" ht="20.25" customHeight="1">
      <c r="A64" s="1" t="s">
        <v>138</v>
      </c>
      <c r="B64" s="1" t="s">
        <v>139</v>
      </c>
      <c r="C64" s="1" t="s">
        <v>11</v>
      </c>
      <c r="D64" s="1" t="s">
        <v>12</v>
      </c>
      <c r="E64" s="1">
        <v>45</v>
      </c>
      <c r="F64" s="1">
        <v>50</v>
      </c>
      <c r="G64" s="1">
        <v>47</v>
      </c>
      <c r="H64" s="1">
        <v>56</v>
      </c>
      <c r="I64" s="2">
        <v>0.72</v>
      </c>
    </row>
    <row r="65" spans="1:9" ht="20.25" customHeight="1">
      <c r="A65" s="1" t="s">
        <v>140</v>
      </c>
      <c r="B65" s="1" t="s">
        <v>141</v>
      </c>
      <c r="C65" s="1" t="s">
        <v>21</v>
      </c>
      <c r="D65" s="1" t="s">
        <v>15</v>
      </c>
      <c r="E65" s="1">
        <v>86</v>
      </c>
      <c r="F65" s="1">
        <v>91</v>
      </c>
      <c r="G65" s="1">
        <v>88</v>
      </c>
      <c r="H65" s="1">
        <v>94</v>
      </c>
      <c r="I65" s="2">
        <v>0.96</v>
      </c>
    </row>
    <row r="66" spans="1:9" ht="20.25" customHeight="1">
      <c r="A66" s="1" t="s">
        <v>142</v>
      </c>
      <c r="B66" s="1" t="s">
        <v>143</v>
      </c>
      <c r="C66" s="1" t="s">
        <v>18</v>
      </c>
      <c r="D66" s="1" t="s">
        <v>12</v>
      </c>
      <c r="E66" s="1">
        <v>60</v>
      </c>
      <c r="F66" s="1">
        <v>65</v>
      </c>
      <c r="G66" s="1">
        <v>62</v>
      </c>
      <c r="H66" s="1">
        <v>69</v>
      </c>
      <c r="I66" s="2">
        <v>0.8</v>
      </c>
    </row>
    <row r="67" spans="1:9" ht="20.25" customHeight="1">
      <c r="A67" s="1" t="s">
        <v>144</v>
      </c>
      <c r="B67" s="1" t="s">
        <v>145</v>
      </c>
      <c r="C67" s="1" t="s">
        <v>11</v>
      </c>
      <c r="D67" s="1" t="s">
        <v>15</v>
      </c>
      <c r="E67" s="1">
        <v>79</v>
      </c>
      <c r="F67" s="1">
        <v>84</v>
      </c>
      <c r="G67" s="1">
        <v>81</v>
      </c>
      <c r="H67" s="1">
        <v>87</v>
      </c>
      <c r="I67" s="2">
        <v>0.92</v>
      </c>
    </row>
    <row r="68" spans="1:9" ht="20.25" customHeight="1">
      <c r="A68" s="1" t="s">
        <v>146</v>
      </c>
      <c r="B68" s="1" t="s">
        <v>147</v>
      </c>
      <c r="C68" s="1" t="s">
        <v>21</v>
      </c>
      <c r="D68" s="1" t="s">
        <v>12</v>
      </c>
      <c r="E68" s="1">
        <v>53</v>
      </c>
      <c r="F68" s="1">
        <v>57</v>
      </c>
      <c r="G68" s="1">
        <v>50</v>
      </c>
      <c r="H68" s="1">
        <v>61</v>
      </c>
      <c r="I68" s="2">
        <v>0.75</v>
      </c>
    </row>
    <row r="69" spans="1:9" ht="20.25" customHeight="1">
      <c r="A69" s="1" t="s">
        <v>148</v>
      </c>
      <c r="B69" s="1" t="s">
        <v>149</v>
      </c>
      <c r="C69" s="1" t="s">
        <v>18</v>
      </c>
      <c r="D69" s="1" t="s">
        <v>15</v>
      </c>
      <c r="E69" s="1">
        <v>88</v>
      </c>
      <c r="F69" s="1">
        <v>92</v>
      </c>
      <c r="G69" s="1">
        <v>86</v>
      </c>
      <c r="H69" s="1">
        <v>90</v>
      </c>
      <c r="I69" s="2">
        <v>0.98</v>
      </c>
    </row>
    <row r="70" spans="1:9" ht="20.25" customHeight="1">
      <c r="A70" s="1" t="s">
        <v>150</v>
      </c>
      <c r="B70" s="1" t="s">
        <v>151</v>
      </c>
      <c r="C70" s="1" t="s">
        <v>11</v>
      </c>
      <c r="D70" s="1" t="s">
        <v>12</v>
      </c>
      <c r="E70" s="1">
        <v>68</v>
      </c>
      <c r="F70" s="1">
        <v>74</v>
      </c>
      <c r="G70" s="1">
        <v>71</v>
      </c>
      <c r="H70" s="1">
        <v>76</v>
      </c>
      <c r="I70" s="2">
        <v>0.83</v>
      </c>
    </row>
    <row r="71" spans="1:9" ht="20.25" customHeight="1">
      <c r="A71" s="1" t="s">
        <v>152</v>
      </c>
      <c r="B71" s="1" t="s">
        <v>153</v>
      </c>
      <c r="C71" s="1" t="s">
        <v>21</v>
      </c>
      <c r="D71" s="1" t="s">
        <v>15</v>
      </c>
      <c r="E71" s="1">
        <v>95</v>
      </c>
      <c r="F71" s="1">
        <v>89</v>
      </c>
      <c r="G71" s="1">
        <v>94</v>
      </c>
      <c r="H71" s="1">
        <v>96</v>
      </c>
      <c r="I71" s="2">
        <v>0.99</v>
      </c>
    </row>
    <row r="72" spans="1:9" ht="20.25" customHeight="1">
      <c r="A72" s="1" t="s">
        <v>154</v>
      </c>
      <c r="B72" s="1" t="s">
        <v>155</v>
      </c>
      <c r="C72" s="1" t="s">
        <v>18</v>
      </c>
      <c r="D72" s="1" t="s">
        <v>12</v>
      </c>
      <c r="E72" s="1">
        <v>39</v>
      </c>
      <c r="F72" s="1">
        <v>46</v>
      </c>
      <c r="G72" s="1">
        <v>42</v>
      </c>
      <c r="H72" s="1">
        <v>51</v>
      </c>
      <c r="I72" s="2">
        <v>0.68</v>
      </c>
    </row>
    <row r="73" spans="1:9" ht="20.25" customHeight="1">
      <c r="A73" s="1" t="s">
        <v>156</v>
      </c>
      <c r="B73" s="1" t="s">
        <v>157</v>
      </c>
      <c r="C73" s="1" t="s">
        <v>11</v>
      </c>
      <c r="D73" s="1" t="s">
        <v>15</v>
      </c>
      <c r="E73" s="1">
        <v>81</v>
      </c>
      <c r="F73" s="1">
        <v>86</v>
      </c>
      <c r="G73" s="1">
        <v>83</v>
      </c>
      <c r="H73" s="1">
        <v>88</v>
      </c>
      <c r="I73" s="2">
        <v>0.94</v>
      </c>
    </row>
    <row r="74" spans="1:9" ht="20.25" customHeight="1">
      <c r="A74" s="1" t="s">
        <v>158</v>
      </c>
      <c r="B74" s="1" t="s">
        <v>159</v>
      </c>
      <c r="C74" s="1" t="s">
        <v>21</v>
      </c>
      <c r="D74" s="1" t="s">
        <v>12</v>
      </c>
      <c r="E74" s="1">
        <v>74</v>
      </c>
      <c r="F74" s="1">
        <v>69</v>
      </c>
      <c r="G74" s="1">
        <v>77</v>
      </c>
      <c r="H74" s="1">
        <v>82</v>
      </c>
      <c r="I74" s="2">
        <v>0.89</v>
      </c>
    </row>
    <row r="75" spans="1:9" ht="20.25" customHeight="1">
      <c r="A75" s="1" t="s">
        <v>160</v>
      </c>
      <c r="B75" s="1" t="s">
        <v>161</v>
      </c>
      <c r="C75" s="1" t="s">
        <v>18</v>
      </c>
      <c r="D75" s="1" t="s">
        <v>15</v>
      </c>
      <c r="E75" s="1">
        <v>92</v>
      </c>
      <c r="F75" s="1">
        <v>96</v>
      </c>
      <c r="G75" s="1">
        <v>91</v>
      </c>
      <c r="H75" s="1">
        <v>95</v>
      </c>
      <c r="I75" s="2">
        <v>0.98</v>
      </c>
    </row>
    <row r="76" spans="1:9" ht="20.25" customHeight="1">
      <c r="A76" s="1" t="s">
        <v>162</v>
      </c>
      <c r="B76" s="1" t="s">
        <v>163</v>
      </c>
      <c r="C76" s="1" t="s">
        <v>11</v>
      </c>
      <c r="D76" s="1" t="s">
        <v>12</v>
      </c>
      <c r="E76" s="1">
        <v>58</v>
      </c>
      <c r="F76" s="1">
        <v>54</v>
      </c>
      <c r="G76" s="1">
        <v>60</v>
      </c>
      <c r="H76" s="1">
        <v>67</v>
      </c>
      <c r="I76" s="2">
        <v>0.78</v>
      </c>
    </row>
    <row r="77" spans="1:9" ht="20.25" customHeight="1">
      <c r="A77" s="1" t="s">
        <v>164</v>
      </c>
      <c r="B77" s="1" t="s">
        <v>165</v>
      </c>
      <c r="C77" s="1" t="s">
        <v>21</v>
      </c>
      <c r="D77" s="1" t="s">
        <v>12</v>
      </c>
      <c r="E77" s="1">
        <v>77</v>
      </c>
      <c r="F77" s="1">
        <v>81</v>
      </c>
      <c r="G77" s="1">
        <v>75</v>
      </c>
      <c r="H77" s="1">
        <v>84</v>
      </c>
      <c r="I77" s="2">
        <v>0.9</v>
      </c>
    </row>
    <row r="78" spans="1:9" ht="20.25" customHeight="1">
      <c r="A78" s="1" t="s">
        <v>166</v>
      </c>
      <c r="B78" s="1" t="s">
        <v>167</v>
      </c>
      <c r="C78" s="1" t="s">
        <v>18</v>
      </c>
      <c r="D78" s="1" t="s">
        <v>15</v>
      </c>
      <c r="E78" s="1">
        <v>85</v>
      </c>
      <c r="F78" s="1">
        <v>88</v>
      </c>
      <c r="G78" s="1">
        <v>82</v>
      </c>
      <c r="H78" s="1">
        <v>91</v>
      </c>
      <c r="I78" s="2">
        <v>0.95</v>
      </c>
    </row>
    <row r="79" spans="1:9" ht="20.25" customHeight="1">
      <c r="A79" s="1" t="s">
        <v>168</v>
      </c>
      <c r="B79" s="1" t="s">
        <v>169</v>
      </c>
      <c r="C79" s="1" t="s">
        <v>11</v>
      </c>
      <c r="D79" s="1" t="s">
        <v>15</v>
      </c>
      <c r="E79" s="1">
        <v>70</v>
      </c>
      <c r="F79" s="1">
        <v>76</v>
      </c>
      <c r="G79" s="1">
        <v>73</v>
      </c>
      <c r="H79" s="1">
        <v>79</v>
      </c>
      <c r="I79" s="2">
        <v>0.86</v>
      </c>
    </row>
    <row r="80" spans="1:9" ht="20.25" customHeight="1">
      <c r="A80" s="1" t="s">
        <v>170</v>
      </c>
      <c r="B80" s="1" t="s">
        <v>171</v>
      </c>
      <c r="C80" s="1" t="s">
        <v>21</v>
      </c>
      <c r="D80" s="1" t="s">
        <v>12</v>
      </c>
      <c r="E80" s="1">
        <v>43</v>
      </c>
      <c r="F80" s="1">
        <v>49</v>
      </c>
      <c r="G80" s="1">
        <v>45</v>
      </c>
      <c r="H80" s="1">
        <v>54</v>
      </c>
      <c r="I80" s="2">
        <v>0.7</v>
      </c>
    </row>
    <row r="81" spans="1:9" ht="20.25" customHeight="1">
      <c r="A81" s="1" t="s">
        <v>172</v>
      </c>
      <c r="B81" s="1" t="s">
        <v>173</v>
      </c>
      <c r="C81" s="1" t="s">
        <v>18</v>
      </c>
      <c r="D81" s="1" t="s">
        <v>15</v>
      </c>
      <c r="E81" s="1">
        <v>90</v>
      </c>
      <c r="F81" s="1">
        <v>87</v>
      </c>
      <c r="G81" s="1">
        <v>93</v>
      </c>
      <c r="H81" s="1">
        <v>96</v>
      </c>
      <c r="I81" s="2">
        <v>0.98</v>
      </c>
    </row>
    <row r="82" spans="1:9" ht="20.25" customHeight="1">
      <c r="A82" s="1" t="s">
        <v>174</v>
      </c>
      <c r="B82" s="1" t="s">
        <v>175</v>
      </c>
      <c r="C82" s="1" t="s">
        <v>11</v>
      </c>
      <c r="D82" s="1" t="s">
        <v>12</v>
      </c>
      <c r="E82" s="1">
        <v>64</v>
      </c>
      <c r="F82" s="1">
        <v>69</v>
      </c>
      <c r="G82" s="1">
        <v>66</v>
      </c>
      <c r="H82" s="1">
        <v>72</v>
      </c>
      <c r="I82" s="2">
        <v>0.82</v>
      </c>
    </row>
    <row r="83" spans="1:9" ht="20.25" customHeight="1">
      <c r="A83" s="1" t="s">
        <v>176</v>
      </c>
      <c r="B83" s="1" t="s">
        <v>177</v>
      </c>
      <c r="C83" s="1" t="s">
        <v>21</v>
      </c>
      <c r="D83" s="1" t="s">
        <v>15</v>
      </c>
      <c r="E83" s="1">
        <v>83</v>
      </c>
      <c r="F83" s="1">
        <v>79</v>
      </c>
      <c r="G83" s="1">
        <v>87</v>
      </c>
      <c r="H83" s="1">
        <v>89</v>
      </c>
      <c r="I83" s="2">
        <v>0.93</v>
      </c>
    </row>
    <row r="84" spans="1:9" ht="20.25" customHeight="1">
      <c r="A84" s="1" t="s">
        <v>178</v>
      </c>
      <c r="B84" s="1" t="s">
        <v>179</v>
      </c>
      <c r="C84" s="1" t="s">
        <v>18</v>
      </c>
      <c r="D84" s="1" t="s">
        <v>12</v>
      </c>
      <c r="E84" s="1">
        <v>51</v>
      </c>
      <c r="F84" s="1">
        <v>56</v>
      </c>
      <c r="G84" s="1">
        <v>54</v>
      </c>
      <c r="H84" s="1">
        <v>63</v>
      </c>
      <c r="I84" s="2">
        <v>0.76</v>
      </c>
    </row>
    <row r="85" spans="1:9" ht="20.25" customHeight="1">
      <c r="A85" s="1" t="s">
        <v>180</v>
      </c>
      <c r="B85" s="1" t="s">
        <v>181</v>
      </c>
      <c r="C85" s="1" t="s">
        <v>11</v>
      </c>
      <c r="D85" s="1" t="s">
        <v>15</v>
      </c>
      <c r="E85" s="1">
        <v>96</v>
      </c>
      <c r="F85" s="1">
        <v>94</v>
      </c>
      <c r="G85" s="1">
        <v>97</v>
      </c>
      <c r="H85" s="1">
        <v>98</v>
      </c>
      <c r="I85" s="2">
        <v>1</v>
      </c>
    </row>
    <row r="86" spans="1:9" ht="20.25" customHeight="1">
      <c r="A86" s="1" t="s">
        <v>182</v>
      </c>
      <c r="B86" s="1" t="s">
        <v>183</v>
      </c>
      <c r="C86" s="1" t="s">
        <v>21</v>
      </c>
      <c r="D86" s="1" t="s">
        <v>12</v>
      </c>
      <c r="E86" s="1">
        <v>72</v>
      </c>
      <c r="F86" s="1">
        <v>77</v>
      </c>
      <c r="G86" s="1">
        <v>70</v>
      </c>
      <c r="H86" s="1">
        <v>81</v>
      </c>
      <c r="I86" s="2">
        <v>0.88</v>
      </c>
    </row>
    <row r="87" spans="1:9" ht="20.25" customHeight="1">
      <c r="A87" s="1" t="s">
        <v>184</v>
      </c>
      <c r="B87" s="1" t="s">
        <v>185</v>
      </c>
      <c r="C87" s="1" t="s">
        <v>18</v>
      </c>
      <c r="D87" s="1" t="s">
        <v>15</v>
      </c>
      <c r="E87" s="1">
        <v>79</v>
      </c>
      <c r="F87" s="1">
        <v>85</v>
      </c>
      <c r="G87" s="1">
        <v>82</v>
      </c>
      <c r="H87" s="1">
        <v>86</v>
      </c>
      <c r="I87" s="2">
        <v>0.92</v>
      </c>
    </row>
    <row r="88" spans="1:9" ht="20.25" customHeight="1">
      <c r="A88" s="1" t="s">
        <v>186</v>
      </c>
      <c r="B88" s="1" t="s">
        <v>187</v>
      </c>
      <c r="C88" s="1" t="s">
        <v>11</v>
      </c>
      <c r="D88" s="1" t="s">
        <v>12</v>
      </c>
      <c r="E88" s="1">
        <v>46</v>
      </c>
      <c r="F88" s="1">
        <v>52</v>
      </c>
      <c r="G88" s="1">
        <v>48</v>
      </c>
      <c r="H88" s="1">
        <v>57</v>
      </c>
      <c r="I88" s="2">
        <v>0.73</v>
      </c>
    </row>
    <row r="89" spans="1:9" ht="20.25" customHeight="1">
      <c r="A89" s="1" t="s">
        <v>188</v>
      </c>
      <c r="B89" s="1" t="s">
        <v>189</v>
      </c>
      <c r="C89" s="1" t="s">
        <v>21</v>
      </c>
      <c r="D89" s="1" t="s">
        <v>15</v>
      </c>
      <c r="E89" s="1">
        <v>87</v>
      </c>
      <c r="F89" s="1">
        <v>91</v>
      </c>
      <c r="G89" s="1">
        <v>89</v>
      </c>
      <c r="H89" s="1">
        <v>94</v>
      </c>
      <c r="I89" s="2">
        <v>0.97</v>
      </c>
    </row>
    <row r="90" spans="1:9" ht="20.25" customHeight="1">
      <c r="A90" s="1" t="s">
        <v>190</v>
      </c>
      <c r="B90" s="1" t="s">
        <v>191</v>
      </c>
      <c r="C90" s="1" t="s">
        <v>18</v>
      </c>
      <c r="D90" s="1" t="s">
        <v>12</v>
      </c>
      <c r="E90" s="1">
        <v>61</v>
      </c>
      <c r="F90" s="1">
        <v>66</v>
      </c>
      <c r="G90" s="1">
        <v>63</v>
      </c>
      <c r="H90" s="1">
        <v>71</v>
      </c>
      <c r="I90" s="2">
        <v>0.8</v>
      </c>
    </row>
    <row r="91" spans="1:9" ht="20.25" customHeight="1">
      <c r="A91" s="1" t="s">
        <v>192</v>
      </c>
      <c r="B91" s="1" t="s">
        <v>193</v>
      </c>
      <c r="C91" s="1" t="s">
        <v>11</v>
      </c>
      <c r="D91" s="1" t="s">
        <v>15</v>
      </c>
      <c r="E91" s="1">
        <v>93</v>
      </c>
      <c r="F91" s="1">
        <v>95</v>
      </c>
      <c r="G91" s="1">
        <v>92</v>
      </c>
      <c r="H91" s="1">
        <v>97</v>
      </c>
      <c r="I91" s="2">
        <v>0.99</v>
      </c>
    </row>
    <row r="92" spans="1:9" ht="20.25" customHeight="1">
      <c r="A92" s="1" t="s">
        <v>194</v>
      </c>
      <c r="B92" s="1" t="s">
        <v>195</v>
      </c>
      <c r="C92" s="1" t="s">
        <v>21</v>
      </c>
      <c r="D92" s="1" t="s">
        <v>12</v>
      </c>
      <c r="E92" s="1">
        <v>56</v>
      </c>
      <c r="F92" s="1">
        <v>62</v>
      </c>
      <c r="G92" s="1">
        <v>58</v>
      </c>
      <c r="H92" s="1">
        <v>65</v>
      </c>
      <c r="I92" s="2">
        <v>0.77</v>
      </c>
    </row>
    <row r="93" spans="1:9" ht="20.25" customHeight="1">
      <c r="A93" s="1" t="s">
        <v>196</v>
      </c>
      <c r="B93" s="1" t="s">
        <v>197</v>
      </c>
      <c r="C93" s="1" t="s">
        <v>18</v>
      </c>
      <c r="D93" s="1" t="s">
        <v>15</v>
      </c>
      <c r="E93" s="1">
        <v>82</v>
      </c>
      <c r="F93" s="1">
        <v>80</v>
      </c>
      <c r="G93" s="1">
        <v>85</v>
      </c>
      <c r="H93" s="1">
        <v>88</v>
      </c>
      <c r="I93" s="2">
        <v>0.94</v>
      </c>
    </row>
    <row r="94" spans="1:9" ht="20.25" customHeight="1">
      <c r="A94" s="1" t="s">
        <v>198</v>
      </c>
      <c r="B94" s="1" t="s">
        <v>199</v>
      </c>
      <c r="C94" s="1" t="s">
        <v>11</v>
      </c>
      <c r="D94" s="1" t="s">
        <v>12</v>
      </c>
      <c r="E94" s="1">
        <v>69</v>
      </c>
      <c r="F94" s="1">
        <v>73</v>
      </c>
      <c r="G94" s="1">
        <v>67</v>
      </c>
      <c r="H94" s="1">
        <v>76</v>
      </c>
      <c r="I94" s="2">
        <v>0.84</v>
      </c>
    </row>
    <row r="95" spans="1:9" ht="20.25" customHeight="1">
      <c r="A95" s="1" t="s">
        <v>200</v>
      </c>
      <c r="B95" s="1" t="s">
        <v>201</v>
      </c>
      <c r="C95" s="1" t="s">
        <v>21</v>
      </c>
      <c r="D95" s="1" t="s">
        <v>15</v>
      </c>
      <c r="E95" s="1">
        <v>91</v>
      </c>
      <c r="F95" s="1">
        <v>89</v>
      </c>
      <c r="G95" s="1">
        <v>94</v>
      </c>
      <c r="H95" s="1">
        <v>96</v>
      </c>
      <c r="I95" s="2">
        <v>0.98</v>
      </c>
    </row>
    <row r="96" spans="1:9" ht="20.25" customHeight="1">
      <c r="A96" s="1" t="s">
        <v>202</v>
      </c>
      <c r="B96" s="1" t="s">
        <v>203</v>
      </c>
      <c r="C96" s="1" t="s">
        <v>18</v>
      </c>
      <c r="D96" s="1" t="s">
        <v>12</v>
      </c>
      <c r="E96" s="1">
        <v>37</v>
      </c>
      <c r="F96" s="1">
        <v>44</v>
      </c>
      <c r="G96" s="1">
        <v>41</v>
      </c>
      <c r="H96" s="1">
        <v>50</v>
      </c>
      <c r="I96" s="2">
        <v>0.67</v>
      </c>
    </row>
    <row r="97" spans="1:9" ht="20.25" customHeight="1">
      <c r="A97" s="1" t="s">
        <v>204</v>
      </c>
      <c r="B97" s="1" t="s">
        <v>205</v>
      </c>
      <c r="C97" s="1" t="s">
        <v>11</v>
      </c>
      <c r="D97" s="1" t="s">
        <v>15</v>
      </c>
      <c r="E97" s="1">
        <v>76</v>
      </c>
      <c r="F97" s="1">
        <v>83</v>
      </c>
      <c r="G97" s="1">
        <v>78</v>
      </c>
      <c r="H97" s="1">
        <v>85</v>
      </c>
      <c r="I97" s="2">
        <v>0.91</v>
      </c>
    </row>
    <row r="98" spans="1:9" ht="20.25" customHeight="1">
      <c r="A98" s="1" t="s">
        <v>206</v>
      </c>
      <c r="B98" s="1" t="s">
        <v>207</v>
      </c>
      <c r="C98" s="1" t="s">
        <v>21</v>
      </c>
      <c r="D98" s="1" t="s">
        <v>12</v>
      </c>
      <c r="E98" s="1">
        <v>88</v>
      </c>
      <c r="F98" s="1">
        <v>86</v>
      </c>
      <c r="G98" s="1">
        <v>90</v>
      </c>
      <c r="H98" s="1">
        <v>92</v>
      </c>
      <c r="I98" s="2">
        <v>0.96</v>
      </c>
    </row>
    <row r="99" spans="1:9" ht="20.25" customHeight="1">
      <c r="A99" s="1" t="s">
        <v>208</v>
      </c>
      <c r="B99" s="1" t="s">
        <v>209</v>
      </c>
      <c r="C99" s="1" t="s">
        <v>18</v>
      </c>
      <c r="D99" s="1" t="s">
        <v>15</v>
      </c>
      <c r="E99" s="1">
        <v>63</v>
      </c>
      <c r="F99" s="1">
        <v>70</v>
      </c>
      <c r="G99" s="1">
        <v>65</v>
      </c>
      <c r="H99" s="1">
        <v>73</v>
      </c>
      <c r="I99" s="2">
        <v>0.83</v>
      </c>
    </row>
    <row r="100" spans="1:9" ht="20.25" customHeight="1">
      <c r="A100" s="1" t="s">
        <v>210</v>
      </c>
      <c r="B100" s="1" t="s">
        <v>211</v>
      </c>
      <c r="C100" s="1" t="s">
        <v>11</v>
      </c>
      <c r="D100" s="1" t="s">
        <v>12</v>
      </c>
      <c r="E100" s="1">
        <v>80</v>
      </c>
      <c r="F100" s="1">
        <v>78</v>
      </c>
      <c r="G100" s="1">
        <v>84</v>
      </c>
      <c r="H100" s="1">
        <v>87</v>
      </c>
      <c r="I100" s="2">
        <v>0.9</v>
      </c>
    </row>
    <row r="101" spans="1:9" ht="20.25" customHeight="1">
      <c r="A101" s="1" t="s">
        <v>212</v>
      </c>
      <c r="B101" s="1" t="s">
        <v>213</v>
      </c>
      <c r="C101" s="1" t="s">
        <v>21</v>
      </c>
      <c r="D101" s="1" t="s">
        <v>15</v>
      </c>
      <c r="E101" s="1">
        <v>94</v>
      </c>
      <c r="F101" s="1">
        <v>92</v>
      </c>
      <c r="G101" s="1">
        <v>96</v>
      </c>
      <c r="H101" s="1">
        <v>98</v>
      </c>
      <c r="I101" s="2">
        <v>0.99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83A5E-E840-473F-BA2B-FA137CD05977}">
  <dimension ref="A1:N101"/>
  <sheetViews>
    <sheetView topLeftCell="I1" workbookViewId="0">
      <selection activeCell="K104" sqref="K104"/>
    </sheetView>
  </sheetViews>
  <sheetFormatPr defaultRowHeight="15"/>
  <cols>
    <col min="1" max="9" width="27.85546875" style="1" customWidth="1"/>
    <col min="10" max="14" width="27.85546875" customWidth="1"/>
  </cols>
  <sheetData>
    <row r="1" spans="1:14" ht="30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214</v>
      </c>
      <c r="K1" s="7" t="s">
        <v>215</v>
      </c>
      <c r="L1" s="4" t="s">
        <v>216</v>
      </c>
      <c r="M1" s="4" t="s">
        <v>217</v>
      </c>
      <c r="N1" s="4" t="s">
        <v>218</v>
      </c>
    </row>
    <row r="2" spans="1:14" ht="20.25" customHeight="1">
      <c r="A2" s="5" t="s">
        <v>9</v>
      </c>
      <c r="B2" s="5" t="s">
        <v>10</v>
      </c>
      <c r="C2" s="5" t="s">
        <v>11</v>
      </c>
      <c r="D2" s="5" t="s">
        <v>12</v>
      </c>
      <c r="E2" s="5">
        <v>78</v>
      </c>
      <c r="F2" s="5">
        <v>85</v>
      </c>
      <c r="G2" s="5">
        <v>72</v>
      </c>
      <c r="H2" s="5">
        <v>90</v>
      </c>
      <c r="I2" s="6">
        <v>0.92</v>
      </c>
      <c r="J2" s="5">
        <f>SUM(E2:H2)</f>
        <v>325</v>
      </c>
      <c r="K2" s="8">
        <f>AVERAGE(E2:H2)</f>
        <v>81.25</v>
      </c>
      <c r="L2" s="6">
        <f>J2/400</f>
        <v>0.8125</v>
      </c>
      <c r="M2" s="5">
        <f>MAX(E2:H2)</f>
        <v>90</v>
      </c>
      <c r="N2" s="5">
        <f>MIN(E2:H2)</f>
        <v>72</v>
      </c>
    </row>
    <row r="3" spans="1:14" ht="20.25" customHeight="1">
      <c r="A3" s="5" t="s">
        <v>13</v>
      </c>
      <c r="B3" s="5" t="s">
        <v>14</v>
      </c>
      <c r="C3" s="5" t="s">
        <v>11</v>
      </c>
      <c r="D3" s="5" t="s">
        <v>15</v>
      </c>
      <c r="E3" s="5">
        <v>65</v>
      </c>
      <c r="F3" s="5">
        <v>71</v>
      </c>
      <c r="G3" s="5">
        <v>68</v>
      </c>
      <c r="H3" s="5">
        <v>75</v>
      </c>
      <c r="I3" s="6">
        <v>0.87</v>
      </c>
      <c r="J3" s="5">
        <f t="shared" ref="J3:J66" si="0">SUM(E3:H3)</f>
        <v>279</v>
      </c>
      <c r="K3" s="8">
        <f t="shared" ref="K3:K66" si="1">AVERAGE(E3:H3)</f>
        <v>69.75</v>
      </c>
      <c r="L3" s="6">
        <f t="shared" ref="L3:L66" si="2">J3/400</f>
        <v>0.69750000000000001</v>
      </c>
      <c r="M3" s="5">
        <f t="shared" ref="M3:M66" si="3">MAX(E3:H3)</f>
        <v>75</v>
      </c>
      <c r="N3" s="5">
        <f t="shared" ref="N3:N66" si="4">MIN(E3:H3)</f>
        <v>65</v>
      </c>
    </row>
    <row r="4" spans="1:14" ht="20.25" customHeight="1">
      <c r="A4" s="5" t="s">
        <v>16</v>
      </c>
      <c r="B4" s="5" t="s">
        <v>17</v>
      </c>
      <c r="C4" s="5" t="s">
        <v>18</v>
      </c>
      <c r="D4" s="5" t="s">
        <v>12</v>
      </c>
      <c r="E4" s="5">
        <v>42</v>
      </c>
      <c r="F4" s="5">
        <v>55</v>
      </c>
      <c r="G4" s="5">
        <v>48</v>
      </c>
      <c r="H4" s="5">
        <v>61</v>
      </c>
      <c r="I4" s="6">
        <v>0.74</v>
      </c>
      <c r="J4" s="5">
        <f t="shared" si="0"/>
        <v>206</v>
      </c>
      <c r="K4" s="8">
        <f t="shared" si="1"/>
        <v>51.5</v>
      </c>
      <c r="L4" s="6">
        <f t="shared" si="2"/>
        <v>0.51500000000000001</v>
      </c>
      <c r="M4" s="5">
        <f t="shared" si="3"/>
        <v>61</v>
      </c>
      <c r="N4" s="5">
        <f t="shared" si="4"/>
        <v>42</v>
      </c>
    </row>
    <row r="5" spans="1:14" ht="20.25" customHeight="1">
      <c r="A5" s="5" t="s">
        <v>19</v>
      </c>
      <c r="B5" s="5" t="s">
        <v>20</v>
      </c>
      <c r="C5" s="5" t="s">
        <v>21</v>
      </c>
      <c r="D5" s="5" t="s">
        <v>15</v>
      </c>
      <c r="E5" s="5">
        <v>91</v>
      </c>
      <c r="F5" s="5">
        <v>88</v>
      </c>
      <c r="G5" s="5">
        <v>94</v>
      </c>
      <c r="H5" s="5">
        <v>96</v>
      </c>
      <c r="I5" s="6">
        <v>0.98</v>
      </c>
      <c r="J5" s="5">
        <f t="shared" si="0"/>
        <v>369</v>
      </c>
      <c r="K5" s="8">
        <f t="shared" si="1"/>
        <v>92.25</v>
      </c>
      <c r="L5" s="6">
        <f t="shared" si="2"/>
        <v>0.92249999999999999</v>
      </c>
      <c r="M5" s="5">
        <f t="shared" si="3"/>
        <v>96</v>
      </c>
      <c r="N5" s="5">
        <f t="shared" si="4"/>
        <v>88</v>
      </c>
    </row>
    <row r="6" spans="1:14" ht="20.25" customHeight="1">
      <c r="A6" s="5" t="s">
        <v>22</v>
      </c>
      <c r="B6" s="5" t="s">
        <v>23</v>
      </c>
      <c r="C6" s="5" t="s">
        <v>18</v>
      </c>
      <c r="D6" s="5" t="s">
        <v>12</v>
      </c>
      <c r="E6" s="5">
        <v>56</v>
      </c>
      <c r="F6" s="5">
        <v>63</v>
      </c>
      <c r="G6" s="5">
        <v>59</v>
      </c>
      <c r="H6" s="5">
        <v>70</v>
      </c>
      <c r="I6" s="6">
        <v>0.81</v>
      </c>
      <c r="J6" s="5">
        <f t="shared" si="0"/>
        <v>248</v>
      </c>
      <c r="K6" s="8">
        <f t="shared" si="1"/>
        <v>62</v>
      </c>
      <c r="L6" s="6">
        <f t="shared" si="2"/>
        <v>0.62</v>
      </c>
      <c r="M6" s="5">
        <f t="shared" si="3"/>
        <v>70</v>
      </c>
      <c r="N6" s="5">
        <f t="shared" si="4"/>
        <v>56</v>
      </c>
    </row>
    <row r="7" spans="1:14" ht="20.25" customHeight="1">
      <c r="A7" s="5" t="s">
        <v>24</v>
      </c>
      <c r="B7" s="5" t="s">
        <v>25</v>
      </c>
      <c r="C7" s="5" t="s">
        <v>11</v>
      </c>
      <c r="D7" s="5" t="s">
        <v>15</v>
      </c>
      <c r="E7" s="5">
        <v>84</v>
      </c>
      <c r="F7" s="5">
        <v>79</v>
      </c>
      <c r="G7" s="5">
        <v>88</v>
      </c>
      <c r="H7" s="5">
        <v>91</v>
      </c>
      <c r="I7" s="6">
        <v>0.95</v>
      </c>
      <c r="J7" s="5">
        <f t="shared" si="0"/>
        <v>342</v>
      </c>
      <c r="K7" s="8">
        <f t="shared" si="1"/>
        <v>85.5</v>
      </c>
      <c r="L7" s="6">
        <f t="shared" si="2"/>
        <v>0.85499999999999998</v>
      </c>
      <c r="M7" s="5">
        <f t="shared" si="3"/>
        <v>91</v>
      </c>
      <c r="N7" s="5">
        <f t="shared" si="4"/>
        <v>79</v>
      </c>
    </row>
    <row r="8" spans="1:14" ht="20.25" customHeight="1">
      <c r="A8" s="5" t="s">
        <v>26</v>
      </c>
      <c r="B8" s="5" t="s">
        <v>27</v>
      </c>
      <c r="C8" s="5" t="s">
        <v>21</v>
      </c>
      <c r="D8" s="5" t="s">
        <v>12</v>
      </c>
      <c r="E8" s="5">
        <v>38</v>
      </c>
      <c r="F8" s="5">
        <v>45</v>
      </c>
      <c r="G8" s="5">
        <v>41</v>
      </c>
      <c r="H8" s="5">
        <v>52</v>
      </c>
      <c r="I8" s="6">
        <v>0.69</v>
      </c>
      <c r="J8" s="5">
        <f t="shared" si="0"/>
        <v>176</v>
      </c>
      <c r="K8" s="8">
        <f t="shared" si="1"/>
        <v>44</v>
      </c>
      <c r="L8" s="6">
        <f t="shared" si="2"/>
        <v>0.44</v>
      </c>
      <c r="M8" s="5">
        <f t="shared" si="3"/>
        <v>52</v>
      </c>
      <c r="N8" s="5">
        <f t="shared" si="4"/>
        <v>38</v>
      </c>
    </row>
    <row r="9" spans="1:14" ht="20.25" customHeight="1">
      <c r="A9" s="5" t="s">
        <v>28</v>
      </c>
      <c r="B9" s="5" t="s">
        <v>29</v>
      </c>
      <c r="C9" s="5" t="s">
        <v>18</v>
      </c>
      <c r="D9" s="5" t="s">
        <v>15</v>
      </c>
      <c r="E9" s="5">
        <v>73</v>
      </c>
      <c r="F9" s="5">
        <v>68</v>
      </c>
      <c r="G9" s="5">
        <v>76</v>
      </c>
      <c r="H9" s="5">
        <v>82</v>
      </c>
      <c r="I9" s="6">
        <v>0.89</v>
      </c>
      <c r="J9" s="5">
        <f t="shared" si="0"/>
        <v>299</v>
      </c>
      <c r="K9" s="8">
        <f t="shared" si="1"/>
        <v>74.75</v>
      </c>
      <c r="L9" s="6">
        <f t="shared" si="2"/>
        <v>0.74750000000000005</v>
      </c>
      <c r="M9" s="5">
        <f t="shared" si="3"/>
        <v>82</v>
      </c>
      <c r="N9" s="5">
        <f t="shared" si="4"/>
        <v>68</v>
      </c>
    </row>
    <row r="10" spans="1:14" ht="20.25" customHeight="1">
      <c r="A10" s="5" t="s">
        <v>30</v>
      </c>
      <c r="B10" s="5" t="s">
        <v>31</v>
      </c>
      <c r="C10" s="5" t="s">
        <v>11</v>
      </c>
      <c r="D10" s="5" t="s">
        <v>12</v>
      </c>
      <c r="E10" s="5">
        <v>95</v>
      </c>
      <c r="F10" s="5">
        <v>92</v>
      </c>
      <c r="G10" s="5">
        <v>89</v>
      </c>
      <c r="H10" s="5">
        <v>97</v>
      </c>
      <c r="I10" s="6">
        <v>0.99</v>
      </c>
      <c r="J10" s="5">
        <f t="shared" si="0"/>
        <v>373</v>
      </c>
      <c r="K10" s="8">
        <f t="shared" si="1"/>
        <v>93.25</v>
      </c>
      <c r="L10" s="6">
        <f t="shared" si="2"/>
        <v>0.9325</v>
      </c>
      <c r="M10" s="5">
        <f t="shared" si="3"/>
        <v>97</v>
      </c>
      <c r="N10" s="5">
        <f t="shared" si="4"/>
        <v>89</v>
      </c>
    </row>
    <row r="11" spans="1:14" ht="20.25" customHeight="1">
      <c r="A11" s="5" t="s">
        <v>32</v>
      </c>
      <c r="B11" s="5" t="s">
        <v>33</v>
      </c>
      <c r="C11" s="5" t="s">
        <v>21</v>
      </c>
      <c r="D11" s="5" t="s">
        <v>15</v>
      </c>
      <c r="E11" s="5">
        <v>61</v>
      </c>
      <c r="F11" s="5">
        <v>57</v>
      </c>
      <c r="G11" s="5">
        <v>64</v>
      </c>
      <c r="H11" s="5">
        <v>69</v>
      </c>
      <c r="I11" s="6">
        <v>0.78</v>
      </c>
      <c r="J11" s="5">
        <f t="shared" si="0"/>
        <v>251</v>
      </c>
      <c r="K11" s="8">
        <f t="shared" si="1"/>
        <v>62.75</v>
      </c>
      <c r="L11" s="6">
        <f t="shared" si="2"/>
        <v>0.62749999999999995</v>
      </c>
      <c r="M11" s="5">
        <f t="shared" si="3"/>
        <v>69</v>
      </c>
      <c r="N11" s="5">
        <f t="shared" si="4"/>
        <v>57</v>
      </c>
    </row>
    <row r="12" spans="1:14" ht="20.25" customHeight="1">
      <c r="A12" s="5" t="s">
        <v>34</v>
      </c>
      <c r="B12" s="5" t="s">
        <v>35</v>
      </c>
      <c r="C12" s="5" t="s">
        <v>18</v>
      </c>
      <c r="D12" s="5" t="s">
        <v>12</v>
      </c>
      <c r="E12" s="5">
        <v>82</v>
      </c>
      <c r="F12" s="5">
        <v>86</v>
      </c>
      <c r="G12" s="5">
        <v>79</v>
      </c>
      <c r="H12" s="5">
        <v>88</v>
      </c>
      <c r="I12" s="6">
        <v>0.93</v>
      </c>
      <c r="J12" s="5">
        <f t="shared" si="0"/>
        <v>335</v>
      </c>
      <c r="K12" s="8">
        <f t="shared" si="1"/>
        <v>83.75</v>
      </c>
      <c r="L12" s="6">
        <f t="shared" si="2"/>
        <v>0.83750000000000002</v>
      </c>
      <c r="M12" s="5">
        <f t="shared" si="3"/>
        <v>88</v>
      </c>
      <c r="N12" s="5">
        <f t="shared" si="4"/>
        <v>79</v>
      </c>
    </row>
    <row r="13" spans="1:14" ht="20.25" customHeight="1">
      <c r="A13" s="5" t="s">
        <v>36</v>
      </c>
      <c r="B13" s="5" t="s">
        <v>37</v>
      </c>
      <c r="C13" s="5" t="s">
        <v>11</v>
      </c>
      <c r="D13" s="5" t="s">
        <v>15</v>
      </c>
      <c r="E13" s="5">
        <v>88</v>
      </c>
      <c r="F13" s="5">
        <v>91</v>
      </c>
      <c r="G13" s="5">
        <v>85</v>
      </c>
      <c r="H13" s="5">
        <v>94</v>
      </c>
      <c r="I13" s="6">
        <v>0.97</v>
      </c>
      <c r="J13" s="5">
        <f t="shared" si="0"/>
        <v>358</v>
      </c>
      <c r="K13" s="8">
        <f t="shared" si="1"/>
        <v>89.5</v>
      </c>
      <c r="L13" s="6">
        <f t="shared" si="2"/>
        <v>0.89500000000000002</v>
      </c>
      <c r="M13" s="5">
        <f t="shared" si="3"/>
        <v>94</v>
      </c>
      <c r="N13" s="5">
        <f t="shared" si="4"/>
        <v>85</v>
      </c>
    </row>
    <row r="14" spans="1:14" ht="20.25" customHeight="1">
      <c r="A14" s="5" t="s">
        <v>38</v>
      </c>
      <c r="B14" s="5" t="s">
        <v>39</v>
      </c>
      <c r="C14" s="5" t="s">
        <v>21</v>
      </c>
      <c r="D14" s="5" t="s">
        <v>12</v>
      </c>
      <c r="E14" s="5">
        <v>47</v>
      </c>
      <c r="F14" s="5">
        <v>52</v>
      </c>
      <c r="G14" s="5">
        <v>44</v>
      </c>
      <c r="H14" s="5">
        <v>58</v>
      </c>
      <c r="I14" s="6">
        <v>0.72</v>
      </c>
      <c r="J14" s="5">
        <f t="shared" si="0"/>
        <v>201</v>
      </c>
      <c r="K14" s="8">
        <f t="shared" si="1"/>
        <v>50.25</v>
      </c>
      <c r="L14" s="6">
        <f t="shared" si="2"/>
        <v>0.50249999999999995</v>
      </c>
      <c r="M14" s="5">
        <f t="shared" si="3"/>
        <v>58</v>
      </c>
      <c r="N14" s="5">
        <f t="shared" si="4"/>
        <v>44</v>
      </c>
    </row>
    <row r="15" spans="1:14" ht="20.25" customHeight="1">
      <c r="A15" s="5" t="s">
        <v>40</v>
      </c>
      <c r="B15" s="5" t="s">
        <v>41</v>
      </c>
      <c r="C15" s="5" t="s">
        <v>18</v>
      </c>
      <c r="D15" s="5" t="s">
        <v>15</v>
      </c>
      <c r="E15" s="5">
        <v>76</v>
      </c>
      <c r="F15" s="5">
        <v>81</v>
      </c>
      <c r="G15" s="5">
        <v>73</v>
      </c>
      <c r="H15" s="5">
        <v>79</v>
      </c>
      <c r="I15" s="6">
        <v>0.9</v>
      </c>
      <c r="J15" s="5">
        <f t="shared" si="0"/>
        <v>309</v>
      </c>
      <c r="K15" s="8">
        <f t="shared" si="1"/>
        <v>77.25</v>
      </c>
      <c r="L15" s="6">
        <f t="shared" si="2"/>
        <v>0.77249999999999996</v>
      </c>
      <c r="M15" s="5">
        <f t="shared" si="3"/>
        <v>81</v>
      </c>
      <c r="N15" s="5">
        <f t="shared" si="4"/>
        <v>73</v>
      </c>
    </row>
    <row r="16" spans="1:14" ht="20.25" customHeight="1">
      <c r="A16" s="5" t="s">
        <v>42</v>
      </c>
      <c r="B16" s="5" t="s">
        <v>43</v>
      </c>
      <c r="C16" s="5" t="s">
        <v>11</v>
      </c>
      <c r="D16" s="5" t="s">
        <v>12</v>
      </c>
      <c r="E16" s="5">
        <v>69</v>
      </c>
      <c r="F16" s="5">
        <v>74</v>
      </c>
      <c r="G16" s="5">
        <v>67</v>
      </c>
      <c r="H16" s="5">
        <v>72</v>
      </c>
      <c r="I16" s="6">
        <v>0.84</v>
      </c>
      <c r="J16" s="5">
        <f t="shared" si="0"/>
        <v>282</v>
      </c>
      <c r="K16" s="8">
        <f t="shared" si="1"/>
        <v>70.5</v>
      </c>
      <c r="L16" s="6">
        <f t="shared" si="2"/>
        <v>0.70499999999999996</v>
      </c>
      <c r="M16" s="5">
        <f t="shared" si="3"/>
        <v>74</v>
      </c>
      <c r="N16" s="5">
        <f t="shared" si="4"/>
        <v>67</v>
      </c>
    </row>
    <row r="17" spans="1:14" ht="20.25" customHeight="1">
      <c r="A17" s="5" t="s">
        <v>44</v>
      </c>
      <c r="B17" s="5" t="s">
        <v>45</v>
      </c>
      <c r="C17" s="5" t="s">
        <v>21</v>
      </c>
      <c r="D17" s="5" t="s">
        <v>15</v>
      </c>
      <c r="E17" s="5">
        <v>93</v>
      </c>
      <c r="F17" s="5">
        <v>89</v>
      </c>
      <c r="G17" s="5">
        <v>96</v>
      </c>
      <c r="H17" s="5">
        <v>91</v>
      </c>
      <c r="I17" s="6">
        <v>0.98</v>
      </c>
      <c r="J17" s="5">
        <f t="shared" si="0"/>
        <v>369</v>
      </c>
      <c r="K17" s="8">
        <f t="shared" si="1"/>
        <v>92.25</v>
      </c>
      <c r="L17" s="6">
        <f t="shared" si="2"/>
        <v>0.92249999999999999</v>
      </c>
      <c r="M17" s="5">
        <f t="shared" si="3"/>
        <v>96</v>
      </c>
      <c r="N17" s="5">
        <f t="shared" si="4"/>
        <v>89</v>
      </c>
    </row>
    <row r="18" spans="1:14" ht="20.25" customHeight="1">
      <c r="A18" s="5" t="s">
        <v>46</v>
      </c>
      <c r="B18" s="5" t="s">
        <v>47</v>
      </c>
      <c r="C18" s="5" t="s">
        <v>18</v>
      </c>
      <c r="D18" s="5" t="s">
        <v>12</v>
      </c>
      <c r="E18" s="5">
        <v>54</v>
      </c>
      <c r="F18" s="5">
        <v>49</v>
      </c>
      <c r="G18" s="5">
        <v>57</v>
      </c>
      <c r="H18" s="5">
        <v>63</v>
      </c>
      <c r="I18" s="6">
        <v>0.76</v>
      </c>
      <c r="J18" s="5">
        <f t="shared" si="0"/>
        <v>223</v>
      </c>
      <c r="K18" s="8">
        <f t="shared" si="1"/>
        <v>55.75</v>
      </c>
      <c r="L18" s="6">
        <f t="shared" si="2"/>
        <v>0.5575</v>
      </c>
      <c r="M18" s="5">
        <f t="shared" si="3"/>
        <v>63</v>
      </c>
      <c r="N18" s="5">
        <f t="shared" si="4"/>
        <v>49</v>
      </c>
    </row>
    <row r="19" spans="1:14" ht="20.25" customHeight="1">
      <c r="A19" s="5" t="s">
        <v>48</v>
      </c>
      <c r="B19" s="5" t="s">
        <v>49</v>
      </c>
      <c r="C19" s="5" t="s">
        <v>11</v>
      </c>
      <c r="D19" s="5" t="s">
        <v>15</v>
      </c>
      <c r="E19" s="5">
        <v>81</v>
      </c>
      <c r="F19" s="5">
        <v>77</v>
      </c>
      <c r="G19" s="5">
        <v>84</v>
      </c>
      <c r="H19" s="5">
        <v>86</v>
      </c>
      <c r="I19" s="6">
        <v>0.91</v>
      </c>
      <c r="J19" s="5">
        <f t="shared" si="0"/>
        <v>328</v>
      </c>
      <c r="K19" s="8">
        <f t="shared" si="1"/>
        <v>82</v>
      </c>
      <c r="L19" s="6">
        <f t="shared" si="2"/>
        <v>0.82</v>
      </c>
      <c r="M19" s="5">
        <f t="shared" si="3"/>
        <v>86</v>
      </c>
      <c r="N19" s="5">
        <f t="shared" si="4"/>
        <v>77</v>
      </c>
    </row>
    <row r="20" spans="1:14" ht="20.25" customHeight="1">
      <c r="A20" s="5" t="s">
        <v>50</v>
      </c>
      <c r="B20" s="5" t="s">
        <v>51</v>
      </c>
      <c r="C20" s="5" t="s">
        <v>21</v>
      </c>
      <c r="D20" s="5" t="s">
        <v>12</v>
      </c>
      <c r="E20" s="5">
        <v>35</v>
      </c>
      <c r="F20" s="5">
        <v>42</v>
      </c>
      <c r="G20" s="5">
        <v>39</v>
      </c>
      <c r="H20" s="5">
        <v>48</v>
      </c>
      <c r="I20" s="6">
        <v>0.65</v>
      </c>
      <c r="J20" s="5">
        <f t="shared" si="0"/>
        <v>164</v>
      </c>
      <c r="K20" s="8">
        <f t="shared" si="1"/>
        <v>41</v>
      </c>
      <c r="L20" s="6">
        <f t="shared" si="2"/>
        <v>0.41</v>
      </c>
      <c r="M20" s="5">
        <f t="shared" si="3"/>
        <v>48</v>
      </c>
      <c r="N20" s="5">
        <f t="shared" si="4"/>
        <v>35</v>
      </c>
    </row>
    <row r="21" spans="1:14" ht="20.25" customHeight="1">
      <c r="A21" s="5" t="s">
        <v>52</v>
      </c>
      <c r="B21" s="5" t="s">
        <v>53</v>
      </c>
      <c r="C21" s="5" t="s">
        <v>18</v>
      </c>
      <c r="D21" s="5" t="s">
        <v>15</v>
      </c>
      <c r="E21" s="5">
        <v>72</v>
      </c>
      <c r="F21" s="5">
        <v>75</v>
      </c>
      <c r="G21" s="5">
        <v>70</v>
      </c>
      <c r="H21" s="5">
        <v>78</v>
      </c>
      <c r="I21" s="6">
        <v>0.88</v>
      </c>
      <c r="J21" s="5">
        <f t="shared" si="0"/>
        <v>295</v>
      </c>
      <c r="K21" s="8">
        <f t="shared" si="1"/>
        <v>73.75</v>
      </c>
      <c r="L21" s="6">
        <f t="shared" si="2"/>
        <v>0.73750000000000004</v>
      </c>
      <c r="M21" s="5">
        <f t="shared" si="3"/>
        <v>78</v>
      </c>
      <c r="N21" s="5">
        <f t="shared" si="4"/>
        <v>70</v>
      </c>
    </row>
    <row r="22" spans="1:14" ht="20.25" customHeight="1">
      <c r="A22" s="5" t="s">
        <v>54</v>
      </c>
      <c r="B22" s="5" t="s">
        <v>55</v>
      </c>
      <c r="C22" s="5" t="s">
        <v>11</v>
      </c>
      <c r="D22" s="5" t="s">
        <v>12</v>
      </c>
      <c r="E22" s="5">
        <v>89</v>
      </c>
      <c r="F22" s="5">
        <v>94</v>
      </c>
      <c r="G22" s="5">
        <v>91</v>
      </c>
      <c r="H22" s="5">
        <v>93</v>
      </c>
      <c r="I22" s="6">
        <v>0.96</v>
      </c>
      <c r="J22" s="5">
        <f t="shared" si="0"/>
        <v>367</v>
      </c>
      <c r="K22" s="8">
        <f t="shared" si="1"/>
        <v>91.75</v>
      </c>
      <c r="L22" s="6">
        <f t="shared" si="2"/>
        <v>0.91749999999999998</v>
      </c>
      <c r="M22" s="5">
        <f t="shared" si="3"/>
        <v>94</v>
      </c>
      <c r="N22" s="5">
        <f t="shared" si="4"/>
        <v>89</v>
      </c>
    </row>
    <row r="23" spans="1:14" ht="20.25" customHeight="1">
      <c r="A23" s="5" t="s">
        <v>56</v>
      </c>
      <c r="B23" s="5" t="s">
        <v>57</v>
      </c>
      <c r="C23" s="5" t="s">
        <v>21</v>
      </c>
      <c r="D23" s="5" t="s">
        <v>15</v>
      </c>
      <c r="E23" s="5">
        <v>64</v>
      </c>
      <c r="F23" s="5">
        <v>69</v>
      </c>
      <c r="G23" s="5">
        <v>62</v>
      </c>
      <c r="H23" s="5">
        <v>71</v>
      </c>
      <c r="I23" s="6">
        <v>0.82</v>
      </c>
      <c r="J23" s="5">
        <f t="shared" si="0"/>
        <v>266</v>
      </c>
      <c r="K23" s="8">
        <f t="shared" si="1"/>
        <v>66.5</v>
      </c>
      <c r="L23" s="6">
        <f t="shared" si="2"/>
        <v>0.66500000000000004</v>
      </c>
      <c r="M23" s="5">
        <f t="shared" si="3"/>
        <v>71</v>
      </c>
      <c r="N23" s="5">
        <f t="shared" si="4"/>
        <v>62</v>
      </c>
    </row>
    <row r="24" spans="1:14" ht="20.25" customHeight="1">
      <c r="A24" s="5" t="s">
        <v>58</v>
      </c>
      <c r="B24" s="5" t="s">
        <v>59</v>
      </c>
      <c r="C24" s="5" t="s">
        <v>18</v>
      </c>
      <c r="D24" s="5" t="s">
        <v>12</v>
      </c>
      <c r="E24" s="5">
        <v>58</v>
      </c>
      <c r="F24" s="5">
        <v>61</v>
      </c>
      <c r="G24" s="5">
        <v>55</v>
      </c>
      <c r="H24" s="5">
        <v>67</v>
      </c>
      <c r="I24" s="6">
        <v>0.79</v>
      </c>
      <c r="J24" s="5">
        <f t="shared" si="0"/>
        <v>241</v>
      </c>
      <c r="K24" s="8">
        <f t="shared" si="1"/>
        <v>60.25</v>
      </c>
      <c r="L24" s="6">
        <f t="shared" si="2"/>
        <v>0.60250000000000004</v>
      </c>
      <c r="M24" s="5">
        <f t="shared" si="3"/>
        <v>67</v>
      </c>
      <c r="N24" s="5">
        <f t="shared" si="4"/>
        <v>55</v>
      </c>
    </row>
    <row r="25" spans="1:14" ht="20.25" customHeight="1">
      <c r="A25" s="5" t="s">
        <v>60</v>
      </c>
      <c r="B25" s="5" t="s">
        <v>61</v>
      </c>
      <c r="C25" s="5" t="s">
        <v>11</v>
      </c>
      <c r="D25" s="5" t="s">
        <v>15</v>
      </c>
      <c r="E25" s="5">
        <v>77</v>
      </c>
      <c r="F25" s="5">
        <v>83</v>
      </c>
      <c r="G25" s="5">
        <v>80</v>
      </c>
      <c r="H25" s="5">
        <v>85</v>
      </c>
      <c r="I25" s="6">
        <v>0.94</v>
      </c>
      <c r="J25" s="5">
        <f t="shared" si="0"/>
        <v>325</v>
      </c>
      <c r="K25" s="8">
        <f t="shared" si="1"/>
        <v>81.25</v>
      </c>
      <c r="L25" s="6">
        <f t="shared" si="2"/>
        <v>0.8125</v>
      </c>
      <c r="M25" s="5">
        <f t="shared" si="3"/>
        <v>85</v>
      </c>
      <c r="N25" s="5">
        <f t="shared" si="4"/>
        <v>77</v>
      </c>
    </row>
    <row r="26" spans="1:14" ht="20.25" customHeight="1">
      <c r="A26" s="5" t="s">
        <v>62</v>
      </c>
      <c r="B26" s="5" t="s">
        <v>63</v>
      </c>
      <c r="C26" s="5" t="s">
        <v>21</v>
      </c>
      <c r="D26" s="5" t="s">
        <v>12</v>
      </c>
      <c r="E26" s="5">
        <v>44</v>
      </c>
      <c r="F26" s="5">
        <v>51</v>
      </c>
      <c r="G26" s="5">
        <v>46</v>
      </c>
      <c r="H26" s="5">
        <v>55</v>
      </c>
      <c r="I26" s="6">
        <v>0.73</v>
      </c>
      <c r="J26" s="5">
        <f t="shared" si="0"/>
        <v>196</v>
      </c>
      <c r="K26" s="8">
        <f t="shared" si="1"/>
        <v>49</v>
      </c>
      <c r="L26" s="6">
        <f t="shared" si="2"/>
        <v>0.49</v>
      </c>
      <c r="M26" s="5">
        <f t="shared" si="3"/>
        <v>55</v>
      </c>
      <c r="N26" s="5">
        <f t="shared" si="4"/>
        <v>44</v>
      </c>
    </row>
    <row r="27" spans="1:14" ht="20.25" customHeight="1">
      <c r="A27" s="5" t="s">
        <v>64</v>
      </c>
      <c r="B27" s="5" t="s">
        <v>65</v>
      </c>
      <c r="C27" s="5" t="s">
        <v>18</v>
      </c>
      <c r="D27" s="5" t="s">
        <v>15</v>
      </c>
      <c r="E27" s="5">
        <v>86</v>
      </c>
      <c r="F27" s="5">
        <v>78</v>
      </c>
      <c r="G27" s="5">
        <v>89</v>
      </c>
      <c r="H27" s="5">
        <v>92</v>
      </c>
      <c r="I27" s="6">
        <v>0.95</v>
      </c>
      <c r="J27" s="5">
        <f t="shared" si="0"/>
        <v>345</v>
      </c>
      <c r="K27" s="8">
        <f t="shared" si="1"/>
        <v>86.25</v>
      </c>
      <c r="L27" s="6">
        <f t="shared" si="2"/>
        <v>0.86250000000000004</v>
      </c>
      <c r="M27" s="5">
        <f t="shared" si="3"/>
        <v>92</v>
      </c>
      <c r="N27" s="5">
        <f t="shared" si="4"/>
        <v>78</v>
      </c>
    </row>
    <row r="28" spans="1:14" ht="20.25" customHeight="1">
      <c r="A28" s="5" t="s">
        <v>66</v>
      </c>
      <c r="B28" s="5" t="s">
        <v>67</v>
      </c>
      <c r="C28" s="5" t="s">
        <v>11</v>
      </c>
      <c r="D28" s="5" t="s">
        <v>12</v>
      </c>
      <c r="E28" s="5">
        <v>71</v>
      </c>
      <c r="F28" s="5">
        <v>66</v>
      </c>
      <c r="G28" s="5">
        <v>74</v>
      </c>
      <c r="H28" s="5">
        <v>80</v>
      </c>
      <c r="I28" s="6">
        <v>0.86</v>
      </c>
      <c r="J28" s="5">
        <f t="shared" si="0"/>
        <v>291</v>
      </c>
      <c r="K28" s="8">
        <f t="shared" si="1"/>
        <v>72.75</v>
      </c>
      <c r="L28" s="6">
        <f t="shared" si="2"/>
        <v>0.72750000000000004</v>
      </c>
      <c r="M28" s="5">
        <f t="shared" si="3"/>
        <v>80</v>
      </c>
      <c r="N28" s="5">
        <f t="shared" si="4"/>
        <v>66</v>
      </c>
    </row>
    <row r="29" spans="1:14" ht="20.25" customHeight="1">
      <c r="A29" s="5" t="s">
        <v>68</v>
      </c>
      <c r="B29" s="5" t="s">
        <v>69</v>
      </c>
      <c r="C29" s="5" t="s">
        <v>21</v>
      </c>
      <c r="D29" s="5" t="s">
        <v>15</v>
      </c>
      <c r="E29" s="5">
        <v>92</v>
      </c>
      <c r="F29" s="5">
        <v>95</v>
      </c>
      <c r="G29" s="5">
        <v>90</v>
      </c>
      <c r="H29" s="5">
        <v>97</v>
      </c>
      <c r="I29" s="6">
        <v>0.99</v>
      </c>
      <c r="J29" s="5">
        <f t="shared" si="0"/>
        <v>374</v>
      </c>
      <c r="K29" s="8">
        <f t="shared" si="1"/>
        <v>93.5</v>
      </c>
      <c r="L29" s="6">
        <f t="shared" si="2"/>
        <v>0.93500000000000005</v>
      </c>
      <c r="M29" s="5">
        <f t="shared" si="3"/>
        <v>97</v>
      </c>
      <c r="N29" s="5">
        <f t="shared" si="4"/>
        <v>90</v>
      </c>
    </row>
    <row r="30" spans="1:14" ht="20.25" customHeight="1">
      <c r="A30" s="5" t="s">
        <v>70</v>
      </c>
      <c r="B30" s="5" t="s">
        <v>71</v>
      </c>
      <c r="C30" s="5" t="s">
        <v>18</v>
      </c>
      <c r="D30" s="5" t="s">
        <v>12</v>
      </c>
      <c r="E30" s="5">
        <v>49</v>
      </c>
      <c r="F30" s="5">
        <v>58</v>
      </c>
      <c r="G30" s="5">
        <v>52</v>
      </c>
      <c r="H30" s="5">
        <v>60</v>
      </c>
      <c r="I30" s="6">
        <v>0.75</v>
      </c>
      <c r="J30" s="5">
        <f t="shared" si="0"/>
        <v>219</v>
      </c>
      <c r="K30" s="8">
        <f t="shared" si="1"/>
        <v>54.75</v>
      </c>
      <c r="L30" s="6">
        <f t="shared" si="2"/>
        <v>0.54749999999999999</v>
      </c>
      <c r="M30" s="5">
        <f t="shared" si="3"/>
        <v>60</v>
      </c>
      <c r="N30" s="5">
        <f t="shared" si="4"/>
        <v>49</v>
      </c>
    </row>
    <row r="31" spans="1:14" ht="20.25" customHeight="1">
      <c r="A31" s="5" t="s">
        <v>72</v>
      </c>
      <c r="B31" s="5" t="s">
        <v>73</v>
      </c>
      <c r="C31" s="5" t="s">
        <v>11</v>
      </c>
      <c r="D31" s="5" t="s">
        <v>15</v>
      </c>
      <c r="E31" s="5">
        <v>68</v>
      </c>
      <c r="F31" s="5">
        <v>73</v>
      </c>
      <c r="G31" s="5">
        <v>71</v>
      </c>
      <c r="H31" s="5">
        <v>76</v>
      </c>
      <c r="I31" s="6">
        <v>0.85</v>
      </c>
      <c r="J31" s="5">
        <f t="shared" si="0"/>
        <v>288</v>
      </c>
      <c r="K31" s="8">
        <f t="shared" si="1"/>
        <v>72</v>
      </c>
      <c r="L31" s="6">
        <f t="shared" si="2"/>
        <v>0.72</v>
      </c>
      <c r="M31" s="5">
        <f t="shared" si="3"/>
        <v>76</v>
      </c>
      <c r="N31" s="5">
        <f t="shared" si="4"/>
        <v>68</v>
      </c>
    </row>
    <row r="32" spans="1:14" ht="20.25" customHeight="1">
      <c r="A32" s="5" t="s">
        <v>74</v>
      </c>
      <c r="B32" s="5" t="s">
        <v>75</v>
      </c>
      <c r="C32" s="5" t="s">
        <v>21</v>
      </c>
      <c r="D32" s="5" t="s">
        <v>12</v>
      </c>
      <c r="E32" s="5">
        <v>79</v>
      </c>
      <c r="F32" s="5">
        <v>82</v>
      </c>
      <c r="G32" s="5">
        <v>77</v>
      </c>
      <c r="H32" s="5">
        <v>84</v>
      </c>
      <c r="I32" s="6">
        <v>0.91</v>
      </c>
      <c r="J32" s="5">
        <f t="shared" si="0"/>
        <v>322</v>
      </c>
      <c r="K32" s="8">
        <f t="shared" si="1"/>
        <v>80.5</v>
      </c>
      <c r="L32" s="6">
        <f t="shared" si="2"/>
        <v>0.80500000000000005</v>
      </c>
      <c r="M32" s="5">
        <f t="shared" si="3"/>
        <v>84</v>
      </c>
      <c r="N32" s="5">
        <f t="shared" si="4"/>
        <v>77</v>
      </c>
    </row>
    <row r="33" spans="1:14" ht="20.25" customHeight="1">
      <c r="A33" s="5" t="s">
        <v>76</v>
      </c>
      <c r="B33" s="5" t="s">
        <v>77</v>
      </c>
      <c r="C33" s="5" t="s">
        <v>18</v>
      </c>
      <c r="D33" s="5" t="s">
        <v>15</v>
      </c>
      <c r="E33" s="5">
        <v>85</v>
      </c>
      <c r="F33" s="5">
        <v>87</v>
      </c>
      <c r="G33" s="5">
        <v>83</v>
      </c>
      <c r="H33" s="5">
        <v>89</v>
      </c>
      <c r="I33" s="6">
        <v>0.96</v>
      </c>
      <c r="J33" s="5">
        <f t="shared" si="0"/>
        <v>344</v>
      </c>
      <c r="K33" s="8">
        <f t="shared" si="1"/>
        <v>86</v>
      </c>
      <c r="L33" s="6">
        <f t="shared" si="2"/>
        <v>0.86</v>
      </c>
      <c r="M33" s="5">
        <f t="shared" si="3"/>
        <v>89</v>
      </c>
      <c r="N33" s="5">
        <f t="shared" si="4"/>
        <v>83</v>
      </c>
    </row>
    <row r="34" spans="1:14" ht="20.25" customHeight="1">
      <c r="A34" s="5" t="s">
        <v>78</v>
      </c>
      <c r="B34" s="5" t="s">
        <v>79</v>
      </c>
      <c r="C34" s="5" t="s">
        <v>11</v>
      </c>
      <c r="D34" s="5" t="s">
        <v>12</v>
      </c>
      <c r="E34" s="5">
        <v>52</v>
      </c>
      <c r="F34" s="5">
        <v>47</v>
      </c>
      <c r="G34" s="5">
        <v>54</v>
      </c>
      <c r="H34" s="5">
        <v>62</v>
      </c>
      <c r="I34" s="6">
        <v>0.77</v>
      </c>
      <c r="J34" s="5">
        <f t="shared" si="0"/>
        <v>215</v>
      </c>
      <c r="K34" s="8">
        <f t="shared" si="1"/>
        <v>53.75</v>
      </c>
      <c r="L34" s="6">
        <f t="shared" si="2"/>
        <v>0.53749999999999998</v>
      </c>
      <c r="M34" s="5">
        <f t="shared" si="3"/>
        <v>62</v>
      </c>
      <c r="N34" s="5">
        <f t="shared" si="4"/>
        <v>47</v>
      </c>
    </row>
    <row r="35" spans="1:14" ht="20.25" customHeight="1">
      <c r="A35" s="5" t="s">
        <v>80</v>
      </c>
      <c r="B35" s="5" t="s">
        <v>81</v>
      </c>
      <c r="C35" s="5" t="s">
        <v>21</v>
      </c>
      <c r="D35" s="5" t="s">
        <v>15</v>
      </c>
      <c r="E35" s="5">
        <v>74</v>
      </c>
      <c r="F35" s="5">
        <v>79</v>
      </c>
      <c r="G35" s="5">
        <v>76</v>
      </c>
      <c r="H35" s="5">
        <v>81</v>
      </c>
      <c r="I35" s="6">
        <v>0.89</v>
      </c>
      <c r="J35" s="5">
        <f t="shared" si="0"/>
        <v>310</v>
      </c>
      <c r="K35" s="8">
        <f t="shared" si="1"/>
        <v>77.5</v>
      </c>
      <c r="L35" s="6">
        <f t="shared" si="2"/>
        <v>0.77500000000000002</v>
      </c>
      <c r="M35" s="5">
        <f t="shared" si="3"/>
        <v>81</v>
      </c>
      <c r="N35" s="5">
        <f t="shared" si="4"/>
        <v>74</v>
      </c>
    </row>
    <row r="36" spans="1:14" ht="20.25" customHeight="1">
      <c r="A36" s="5" t="s">
        <v>82</v>
      </c>
      <c r="B36" s="5" t="s">
        <v>83</v>
      </c>
      <c r="C36" s="5" t="s">
        <v>18</v>
      </c>
      <c r="D36" s="5" t="s">
        <v>12</v>
      </c>
      <c r="E36" s="5">
        <v>63</v>
      </c>
      <c r="F36" s="5">
        <v>59</v>
      </c>
      <c r="G36" s="5">
        <v>66</v>
      </c>
      <c r="H36" s="5">
        <v>70</v>
      </c>
      <c r="I36" s="6">
        <v>0.8</v>
      </c>
      <c r="J36" s="5">
        <f t="shared" si="0"/>
        <v>258</v>
      </c>
      <c r="K36" s="8">
        <f t="shared" si="1"/>
        <v>64.5</v>
      </c>
      <c r="L36" s="6">
        <f t="shared" si="2"/>
        <v>0.64500000000000002</v>
      </c>
      <c r="M36" s="5">
        <f t="shared" si="3"/>
        <v>70</v>
      </c>
      <c r="N36" s="5">
        <f t="shared" si="4"/>
        <v>59</v>
      </c>
    </row>
    <row r="37" spans="1:14" ht="20.25" customHeight="1">
      <c r="A37" s="5" t="s">
        <v>84</v>
      </c>
      <c r="B37" s="5" t="s">
        <v>85</v>
      </c>
      <c r="C37" s="5" t="s">
        <v>11</v>
      </c>
      <c r="D37" s="5" t="s">
        <v>15</v>
      </c>
      <c r="E37" s="5">
        <v>97</v>
      </c>
      <c r="F37" s="5">
        <v>93</v>
      </c>
      <c r="G37" s="5">
        <v>95</v>
      </c>
      <c r="H37" s="5">
        <v>98</v>
      </c>
      <c r="I37" s="6">
        <v>1</v>
      </c>
      <c r="J37" s="5">
        <f t="shared" si="0"/>
        <v>383</v>
      </c>
      <c r="K37" s="8">
        <f t="shared" si="1"/>
        <v>95.75</v>
      </c>
      <c r="L37" s="6">
        <f t="shared" si="2"/>
        <v>0.95750000000000002</v>
      </c>
      <c r="M37" s="5">
        <f t="shared" si="3"/>
        <v>98</v>
      </c>
      <c r="N37" s="5">
        <f t="shared" si="4"/>
        <v>93</v>
      </c>
    </row>
    <row r="38" spans="1:14" ht="20.25" customHeight="1">
      <c r="A38" s="5" t="s">
        <v>86</v>
      </c>
      <c r="B38" s="5" t="s">
        <v>87</v>
      </c>
      <c r="C38" s="5" t="s">
        <v>21</v>
      </c>
      <c r="D38" s="5" t="s">
        <v>12</v>
      </c>
      <c r="E38" s="5">
        <v>41</v>
      </c>
      <c r="F38" s="5">
        <v>48</v>
      </c>
      <c r="G38" s="5">
        <v>45</v>
      </c>
      <c r="H38" s="5">
        <v>53</v>
      </c>
      <c r="I38" s="6">
        <v>0.71</v>
      </c>
      <c r="J38" s="5">
        <f t="shared" si="0"/>
        <v>187</v>
      </c>
      <c r="K38" s="8">
        <f t="shared" si="1"/>
        <v>46.75</v>
      </c>
      <c r="L38" s="6">
        <f t="shared" si="2"/>
        <v>0.46750000000000003</v>
      </c>
      <c r="M38" s="5">
        <f t="shared" si="3"/>
        <v>53</v>
      </c>
      <c r="N38" s="5">
        <f t="shared" si="4"/>
        <v>41</v>
      </c>
    </row>
    <row r="39" spans="1:14" ht="20.25" customHeight="1">
      <c r="A39" s="5" t="s">
        <v>88</v>
      </c>
      <c r="B39" s="5" t="s">
        <v>89</v>
      </c>
      <c r="C39" s="5" t="s">
        <v>18</v>
      </c>
      <c r="D39" s="5" t="s">
        <v>15</v>
      </c>
      <c r="E39" s="5">
        <v>80</v>
      </c>
      <c r="F39" s="5">
        <v>84</v>
      </c>
      <c r="G39" s="5">
        <v>78</v>
      </c>
      <c r="H39" s="5">
        <v>87</v>
      </c>
      <c r="I39" s="6">
        <v>0.93</v>
      </c>
      <c r="J39" s="5">
        <f t="shared" si="0"/>
        <v>329</v>
      </c>
      <c r="K39" s="8">
        <f t="shared" si="1"/>
        <v>82.25</v>
      </c>
      <c r="L39" s="6">
        <f t="shared" si="2"/>
        <v>0.82250000000000001</v>
      </c>
      <c r="M39" s="5">
        <f t="shared" si="3"/>
        <v>87</v>
      </c>
      <c r="N39" s="5">
        <f t="shared" si="4"/>
        <v>78</v>
      </c>
    </row>
    <row r="40" spans="1:14" ht="20.25" customHeight="1">
      <c r="A40" s="5" t="s">
        <v>90</v>
      </c>
      <c r="B40" s="5" t="s">
        <v>91</v>
      </c>
      <c r="C40" s="5" t="s">
        <v>11</v>
      </c>
      <c r="D40" s="5" t="s">
        <v>12</v>
      </c>
      <c r="E40" s="5">
        <v>67</v>
      </c>
      <c r="F40" s="5">
        <v>72</v>
      </c>
      <c r="G40" s="5">
        <v>69</v>
      </c>
      <c r="H40" s="5">
        <v>74</v>
      </c>
      <c r="I40" s="6">
        <v>0.83</v>
      </c>
      <c r="J40" s="5">
        <f t="shared" si="0"/>
        <v>282</v>
      </c>
      <c r="K40" s="8">
        <f t="shared" si="1"/>
        <v>70.5</v>
      </c>
      <c r="L40" s="6">
        <f t="shared" si="2"/>
        <v>0.70499999999999996</v>
      </c>
      <c r="M40" s="5">
        <f t="shared" si="3"/>
        <v>74</v>
      </c>
      <c r="N40" s="5">
        <f t="shared" si="4"/>
        <v>67</v>
      </c>
    </row>
    <row r="41" spans="1:14" ht="20.25" customHeight="1">
      <c r="A41" s="5" t="s">
        <v>92</v>
      </c>
      <c r="B41" s="5" t="s">
        <v>93</v>
      </c>
      <c r="C41" s="5" t="s">
        <v>21</v>
      </c>
      <c r="D41" s="5" t="s">
        <v>15</v>
      </c>
      <c r="E41" s="5">
        <v>90</v>
      </c>
      <c r="F41" s="5">
        <v>86</v>
      </c>
      <c r="G41" s="5">
        <v>92</v>
      </c>
      <c r="H41" s="5">
        <v>95</v>
      </c>
      <c r="I41" s="6">
        <v>0.97</v>
      </c>
      <c r="J41" s="5">
        <f t="shared" si="0"/>
        <v>363</v>
      </c>
      <c r="K41" s="8">
        <f t="shared" si="1"/>
        <v>90.75</v>
      </c>
      <c r="L41" s="6">
        <f t="shared" si="2"/>
        <v>0.90749999999999997</v>
      </c>
      <c r="M41" s="5">
        <f t="shared" si="3"/>
        <v>95</v>
      </c>
      <c r="N41" s="5">
        <f t="shared" si="4"/>
        <v>86</v>
      </c>
    </row>
    <row r="42" spans="1:14" ht="20.25" customHeight="1">
      <c r="A42" s="5" t="s">
        <v>94</v>
      </c>
      <c r="B42" s="5" t="s">
        <v>95</v>
      </c>
      <c r="C42" s="5" t="s">
        <v>18</v>
      </c>
      <c r="D42" s="5" t="s">
        <v>12</v>
      </c>
      <c r="E42" s="5">
        <v>57</v>
      </c>
      <c r="F42" s="5">
        <v>64</v>
      </c>
      <c r="G42" s="5">
        <v>61</v>
      </c>
      <c r="H42" s="5">
        <v>68</v>
      </c>
      <c r="I42" s="6">
        <v>0.78</v>
      </c>
      <c r="J42" s="5">
        <f t="shared" si="0"/>
        <v>250</v>
      </c>
      <c r="K42" s="8">
        <f t="shared" si="1"/>
        <v>62.5</v>
      </c>
      <c r="L42" s="6">
        <f t="shared" si="2"/>
        <v>0.625</v>
      </c>
      <c r="M42" s="5">
        <f t="shared" si="3"/>
        <v>68</v>
      </c>
      <c r="N42" s="5">
        <f t="shared" si="4"/>
        <v>57</v>
      </c>
    </row>
    <row r="43" spans="1:14" ht="20.25" customHeight="1">
      <c r="A43" s="5" t="s">
        <v>96</v>
      </c>
      <c r="B43" s="5" t="s">
        <v>97</v>
      </c>
      <c r="C43" s="5" t="s">
        <v>11</v>
      </c>
      <c r="D43" s="5" t="s">
        <v>15</v>
      </c>
      <c r="E43" s="5">
        <v>83</v>
      </c>
      <c r="F43" s="5">
        <v>80</v>
      </c>
      <c r="G43" s="5">
        <v>86</v>
      </c>
      <c r="H43" s="5">
        <v>88</v>
      </c>
      <c r="I43" s="6">
        <v>0.92</v>
      </c>
      <c r="J43" s="5">
        <f t="shared" si="0"/>
        <v>337</v>
      </c>
      <c r="K43" s="8">
        <f t="shared" si="1"/>
        <v>84.25</v>
      </c>
      <c r="L43" s="6">
        <f t="shared" si="2"/>
        <v>0.84250000000000003</v>
      </c>
      <c r="M43" s="5">
        <f t="shared" si="3"/>
        <v>88</v>
      </c>
      <c r="N43" s="5">
        <f t="shared" si="4"/>
        <v>80</v>
      </c>
    </row>
    <row r="44" spans="1:14" ht="20.25" customHeight="1">
      <c r="A44" s="5" t="s">
        <v>98</v>
      </c>
      <c r="B44" s="5" t="s">
        <v>99</v>
      </c>
      <c r="C44" s="5" t="s">
        <v>21</v>
      </c>
      <c r="D44" s="5" t="s">
        <v>12</v>
      </c>
      <c r="E44" s="5">
        <v>46</v>
      </c>
      <c r="F44" s="5">
        <v>53</v>
      </c>
      <c r="G44" s="5">
        <v>49</v>
      </c>
      <c r="H44" s="5">
        <v>57</v>
      </c>
      <c r="I44" s="6">
        <v>0.7</v>
      </c>
      <c r="J44" s="5">
        <f t="shared" si="0"/>
        <v>205</v>
      </c>
      <c r="K44" s="8">
        <f t="shared" si="1"/>
        <v>51.25</v>
      </c>
      <c r="L44" s="6">
        <f t="shared" si="2"/>
        <v>0.51249999999999996</v>
      </c>
      <c r="M44" s="5">
        <f t="shared" si="3"/>
        <v>57</v>
      </c>
      <c r="N44" s="5">
        <f t="shared" si="4"/>
        <v>46</v>
      </c>
    </row>
    <row r="45" spans="1:14" ht="20.25" customHeight="1">
      <c r="A45" s="5" t="s">
        <v>100</v>
      </c>
      <c r="B45" s="5" t="s">
        <v>101</v>
      </c>
      <c r="C45" s="5" t="s">
        <v>18</v>
      </c>
      <c r="D45" s="5" t="s">
        <v>15</v>
      </c>
      <c r="E45" s="5">
        <v>75</v>
      </c>
      <c r="F45" s="5">
        <v>71</v>
      </c>
      <c r="G45" s="5">
        <v>79</v>
      </c>
      <c r="H45" s="5">
        <v>83</v>
      </c>
      <c r="I45" s="6">
        <v>0.88</v>
      </c>
      <c r="J45" s="5">
        <f t="shared" si="0"/>
        <v>308</v>
      </c>
      <c r="K45" s="8">
        <f t="shared" si="1"/>
        <v>77</v>
      </c>
      <c r="L45" s="6">
        <f t="shared" si="2"/>
        <v>0.77</v>
      </c>
      <c r="M45" s="5">
        <f t="shared" si="3"/>
        <v>83</v>
      </c>
      <c r="N45" s="5">
        <f t="shared" si="4"/>
        <v>71</v>
      </c>
    </row>
    <row r="46" spans="1:14" ht="20.25" customHeight="1">
      <c r="A46" s="5" t="s">
        <v>102</v>
      </c>
      <c r="B46" s="5" t="s">
        <v>103</v>
      </c>
      <c r="C46" s="5" t="s">
        <v>11</v>
      </c>
      <c r="D46" s="5" t="s">
        <v>12</v>
      </c>
      <c r="E46" s="5">
        <v>87</v>
      </c>
      <c r="F46" s="5">
        <v>90</v>
      </c>
      <c r="G46" s="5">
        <v>84</v>
      </c>
      <c r="H46" s="5">
        <v>91</v>
      </c>
      <c r="I46" s="6">
        <v>0.95</v>
      </c>
      <c r="J46" s="5">
        <f t="shared" si="0"/>
        <v>352</v>
      </c>
      <c r="K46" s="8">
        <f t="shared" si="1"/>
        <v>88</v>
      </c>
      <c r="L46" s="6">
        <f t="shared" si="2"/>
        <v>0.88</v>
      </c>
      <c r="M46" s="5">
        <f t="shared" si="3"/>
        <v>91</v>
      </c>
      <c r="N46" s="5">
        <f t="shared" si="4"/>
        <v>84</v>
      </c>
    </row>
    <row r="47" spans="1:14" ht="20.25" customHeight="1">
      <c r="A47" s="5" t="s">
        <v>104</v>
      </c>
      <c r="B47" s="5" t="s">
        <v>105</v>
      </c>
      <c r="C47" s="5" t="s">
        <v>21</v>
      </c>
      <c r="D47" s="5" t="s">
        <v>15</v>
      </c>
      <c r="E47" s="5">
        <v>69</v>
      </c>
      <c r="F47" s="5">
        <v>76</v>
      </c>
      <c r="G47" s="5">
        <v>72</v>
      </c>
      <c r="H47" s="5">
        <v>78</v>
      </c>
      <c r="I47" s="6">
        <v>0.86</v>
      </c>
      <c r="J47" s="5">
        <f t="shared" si="0"/>
        <v>295</v>
      </c>
      <c r="K47" s="8">
        <f t="shared" si="1"/>
        <v>73.75</v>
      </c>
      <c r="L47" s="6">
        <f t="shared" si="2"/>
        <v>0.73750000000000004</v>
      </c>
      <c r="M47" s="5">
        <f t="shared" si="3"/>
        <v>78</v>
      </c>
      <c r="N47" s="5">
        <f t="shared" si="4"/>
        <v>69</v>
      </c>
    </row>
    <row r="48" spans="1:14" ht="20.25" customHeight="1">
      <c r="A48" s="5" t="s">
        <v>106</v>
      </c>
      <c r="B48" s="5" t="s">
        <v>107</v>
      </c>
      <c r="C48" s="5" t="s">
        <v>18</v>
      </c>
      <c r="D48" s="5" t="s">
        <v>12</v>
      </c>
      <c r="E48" s="5">
        <v>32</v>
      </c>
      <c r="F48" s="5">
        <v>39</v>
      </c>
      <c r="G48" s="5">
        <v>44</v>
      </c>
      <c r="H48" s="5">
        <v>47</v>
      </c>
      <c r="I48" s="6">
        <v>0.64</v>
      </c>
      <c r="J48" s="5">
        <f t="shared" si="0"/>
        <v>162</v>
      </c>
      <c r="K48" s="8">
        <f t="shared" si="1"/>
        <v>40.5</v>
      </c>
      <c r="L48" s="6">
        <f t="shared" si="2"/>
        <v>0.40500000000000003</v>
      </c>
      <c r="M48" s="5">
        <f t="shared" si="3"/>
        <v>47</v>
      </c>
      <c r="N48" s="5">
        <f t="shared" si="4"/>
        <v>32</v>
      </c>
    </row>
    <row r="49" spans="1:14" ht="20.25" customHeight="1">
      <c r="A49" s="5" t="s">
        <v>108</v>
      </c>
      <c r="B49" s="5" t="s">
        <v>109</v>
      </c>
      <c r="C49" s="5" t="s">
        <v>11</v>
      </c>
      <c r="D49" s="5" t="s">
        <v>15</v>
      </c>
      <c r="E49" s="5">
        <v>94</v>
      </c>
      <c r="F49" s="5">
        <v>96</v>
      </c>
      <c r="G49" s="5">
        <v>91</v>
      </c>
      <c r="H49" s="5">
        <v>93</v>
      </c>
      <c r="I49" s="6">
        <v>0.99</v>
      </c>
      <c r="J49" s="5">
        <f t="shared" si="0"/>
        <v>374</v>
      </c>
      <c r="K49" s="8">
        <f t="shared" si="1"/>
        <v>93.5</v>
      </c>
      <c r="L49" s="6">
        <f t="shared" si="2"/>
        <v>0.93500000000000005</v>
      </c>
      <c r="M49" s="5">
        <f t="shared" si="3"/>
        <v>96</v>
      </c>
      <c r="N49" s="5">
        <f t="shared" si="4"/>
        <v>91</v>
      </c>
    </row>
    <row r="50" spans="1:14" ht="20.25" customHeight="1">
      <c r="A50" s="5" t="s">
        <v>110</v>
      </c>
      <c r="B50" s="5" t="s">
        <v>111</v>
      </c>
      <c r="C50" s="5" t="s">
        <v>21</v>
      </c>
      <c r="D50" s="5" t="s">
        <v>12</v>
      </c>
      <c r="E50" s="5">
        <v>62</v>
      </c>
      <c r="F50" s="5">
        <v>68</v>
      </c>
      <c r="G50" s="5">
        <v>65</v>
      </c>
      <c r="H50" s="5">
        <v>73</v>
      </c>
      <c r="I50" s="6">
        <v>0.81</v>
      </c>
      <c r="J50" s="5">
        <f t="shared" si="0"/>
        <v>268</v>
      </c>
      <c r="K50" s="8">
        <f t="shared" si="1"/>
        <v>67</v>
      </c>
      <c r="L50" s="6">
        <f t="shared" si="2"/>
        <v>0.67</v>
      </c>
      <c r="M50" s="5">
        <f t="shared" si="3"/>
        <v>73</v>
      </c>
      <c r="N50" s="5">
        <f t="shared" si="4"/>
        <v>62</v>
      </c>
    </row>
    <row r="51" spans="1:14" ht="20.25" customHeight="1">
      <c r="A51" s="5" t="s">
        <v>112</v>
      </c>
      <c r="B51" s="5" t="s">
        <v>113</v>
      </c>
      <c r="C51" s="5" t="s">
        <v>18</v>
      </c>
      <c r="D51" s="5" t="s">
        <v>15</v>
      </c>
      <c r="E51" s="5">
        <v>78</v>
      </c>
      <c r="F51" s="5">
        <v>74</v>
      </c>
      <c r="G51" s="5">
        <v>82</v>
      </c>
      <c r="H51" s="5">
        <v>85</v>
      </c>
      <c r="I51" s="6">
        <v>0.9</v>
      </c>
      <c r="J51" s="5">
        <f t="shared" si="0"/>
        <v>319</v>
      </c>
      <c r="K51" s="8">
        <f t="shared" si="1"/>
        <v>79.75</v>
      </c>
      <c r="L51" s="6">
        <f t="shared" si="2"/>
        <v>0.79749999999999999</v>
      </c>
      <c r="M51" s="5">
        <f t="shared" si="3"/>
        <v>85</v>
      </c>
      <c r="N51" s="5">
        <f t="shared" si="4"/>
        <v>74</v>
      </c>
    </row>
    <row r="52" spans="1:14" ht="20.25" customHeight="1">
      <c r="A52" s="5" t="s">
        <v>114</v>
      </c>
      <c r="B52" s="5" t="s">
        <v>115</v>
      </c>
      <c r="C52" s="5" t="s">
        <v>11</v>
      </c>
      <c r="D52" s="5" t="s">
        <v>12</v>
      </c>
      <c r="E52" s="5">
        <v>84</v>
      </c>
      <c r="F52" s="5">
        <v>89</v>
      </c>
      <c r="G52" s="5">
        <v>81</v>
      </c>
      <c r="H52" s="5">
        <v>86</v>
      </c>
      <c r="I52" s="6">
        <v>0.94</v>
      </c>
      <c r="J52" s="5">
        <f t="shared" si="0"/>
        <v>340</v>
      </c>
      <c r="K52" s="8">
        <f t="shared" si="1"/>
        <v>85</v>
      </c>
      <c r="L52" s="6">
        <f t="shared" si="2"/>
        <v>0.85</v>
      </c>
      <c r="M52" s="5">
        <f t="shared" si="3"/>
        <v>89</v>
      </c>
      <c r="N52" s="5">
        <f t="shared" si="4"/>
        <v>81</v>
      </c>
    </row>
    <row r="53" spans="1:14" ht="20.25" customHeight="1">
      <c r="A53" s="5" t="s">
        <v>116</v>
      </c>
      <c r="B53" s="5" t="s">
        <v>117</v>
      </c>
      <c r="C53" s="5" t="s">
        <v>21</v>
      </c>
      <c r="D53" s="5" t="s">
        <v>15</v>
      </c>
      <c r="E53" s="5">
        <v>59</v>
      </c>
      <c r="F53" s="5">
        <v>63</v>
      </c>
      <c r="G53" s="5">
        <v>58</v>
      </c>
      <c r="H53" s="5">
        <v>66</v>
      </c>
      <c r="I53" s="6">
        <v>0.77</v>
      </c>
      <c r="J53" s="5">
        <f t="shared" si="0"/>
        <v>246</v>
      </c>
      <c r="K53" s="8">
        <f t="shared" si="1"/>
        <v>61.5</v>
      </c>
      <c r="L53" s="6">
        <f t="shared" si="2"/>
        <v>0.61499999999999999</v>
      </c>
      <c r="M53" s="5">
        <f t="shared" si="3"/>
        <v>66</v>
      </c>
      <c r="N53" s="5">
        <f t="shared" si="4"/>
        <v>58</v>
      </c>
    </row>
    <row r="54" spans="1:14" ht="20.25" customHeight="1">
      <c r="A54" s="5" t="s">
        <v>118</v>
      </c>
      <c r="B54" s="5" t="s">
        <v>119</v>
      </c>
      <c r="C54" s="5" t="s">
        <v>18</v>
      </c>
      <c r="D54" s="5" t="s">
        <v>12</v>
      </c>
      <c r="E54" s="5">
        <v>73</v>
      </c>
      <c r="F54" s="5">
        <v>70</v>
      </c>
      <c r="G54" s="5">
        <v>75</v>
      </c>
      <c r="H54" s="5">
        <v>79</v>
      </c>
      <c r="I54" s="6">
        <v>0.87</v>
      </c>
      <c r="J54" s="5">
        <f t="shared" si="0"/>
        <v>297</v>
      </c>
      <c r="K54" s="8">
        <f t="shared" si="1"/>
        <v>74.25</v>
      </c>
      <c r="L54" s="6">
        <f t="shared" si="2"/>
        <v>0.74250000000000005</v>
      </c>
      <c r="M54" s="5">
        <f t="shared" si="3"/>
        <v>79</v>
      </c>
      <c r="N54" s="5">
        <f t="shared" si="4"/>
        <v>70</v>
      </c>
    </row>
    <row r="55" spans="1:14" ht="20.25" customHeight="1">
      <c r="A55" s="5" t="s">
        <v>120</v>
      </c>
      <c r="B55" s="5" t="s">
        <v>121</v>
      </c>
      <c r="C55" s="5" t="s">
        <v>11</v>
      </c>
      <c r="D55" s="5" t="s">
        <v>15</v>
      </c>
      <c r="E55" s="5">
        <v>91</v>
      </c>
      <c r="F55" s="5">
        <v>94</v>
      </c>
      <c r="G55" s="5">
        <v>89</v>
      </c>
      <c r="H55" s="5">
        <v>96</v>
      </c>
      <c r="I55" s="6">
        <v>0.98</v>
      </c>
      <c r="J55" s="5">
        <f t="shared" si="0"/>
        <v>370</v>
      </c>
      <c r="K55" s="8">
        <f t="shared" si="1"/>
        <v>92.5</v>
      </c>
      <c r="L55" s="6">
        <f t="shared" si="2"/>
        <v>0.92500000000000004</v>
      </c>
      <c r="M55" s="5">
        <f t="shared" si="3"/>
        <v>96</v>
      </c>
      <c r="N55" s="5">
        <f t="shared" si="4"/>
        <v>89</v>
      </c>
    </row>
    <row r="56" spans="1:14" ht="20.25" customHeight="1">
      <c r="A56" s="5" t="s">
        <v>122</v>
      </c>
      <c r="B56" s="5" t="s">
        <v>123</v>
      </c>
      <c r="C56" s="5" t="s">
        <v>21</v>
      </c>
      <c r="D56" s="5" t="s">
        <v>12</v>
      </c>
      <c r="E56" s="5">
        <v>48</v>
      </c>
      <c r="F56" s="5">
        <v>55</v>
      </c>
      <c r="G56" s="5">
        <v>51</v>
      </c>
      <c r="H56" s="5">
        <v>59</v>
      </c>
      <c r="I56" s="6">
        <v>0.74</v>
      </c>
      <c r="J56" s="5">
        <f t="shared" si="0"/>
        <v>213</v>
      </c>
      <c r="K56" s="8">
        <f t="shared" si="1"/>
        <v>53.25</v>
      </c>
      <c r="L56" s="6">
        <f t="shared" si="2"/>
        <v>0.53249999999999997</v>
      </c>
      <c r="M56" s="5">
        <f t="shared" si="3"/>
        <v>59</v>
      </c>
      <c r="N56" s="5">
        <f t="shared" si="4"/>
        <v>48</v>
      </c>
    </row>
    <row r="57" spans="1:14" ht="20.25" customHeight="1">
      <c r="A57" s="5" t="s">
        <v>124</v>
      </c>
      <c r="B57" s="5" t="s">
        <v>125</v>
      </c>
      <c r="C57" s="5" t="s">
        <v>18</v>
      </c>
      <c r="D57" s="5" t="s">
        <v>15</v>
      </c>
      <c r="E57" s="5">
        <v>82</v>
      </c>
      <c r="F57" s="5">
        <v>78</v>
      </c>
      <c r="G57" s="5">
        <v>85</v>
      </c>
      <c r="H57" s="5">
        <v>90</v>
      </c>
      <c r="I57" s="6">
        <v>0.93</v>
      </c>
      <c r="J57" s="5">
        <f t="shared" si="0"/>
        <v>335</v>
      </c>
      <c r="K57" s="8">
        <f t="shared" si="1"/>
        <v>83.75</v>
      </c>
      <c r="L57" s="6">
        <f t="shared" si="2"/>
        <v>0.83750000000000002</v>
      </c>
      <c r="M57" s="5">
        <f t="shared" si="3"/>
        <v>90</v>
      </c>
      <c r="N57" s="5">
        <f t="shared" si="4"/>
        <v>78</v>
      </c>
    </row>
    <row r="58" spans="1:14" ht="20.25" customHeight="1">
      <c r="A58" s="5" t="s">
        <v>126</v>
      </c>
      <c r="B58" s="5" t="s">
        <v>127</v>
      </c>
      <c r="C58" s="5" t="s">
        <v>11</v>
      </c>
      <c r="D58" s="5" t="s">
        <v>12</v>
      </c>
      <c r="E58" s="5">
        <v>66</v>
      </c>
      <c r="F58" s="5">
        <v>71</v>
      </c>
      <c r="G58" s="5">
        <v>68</v>
      </c>
      <c r="H58" s="5">
        <v>75</v>
      </c>
      <c r="I58" s="6">
        <v>0.84</v>
      </c>
      <c r="J58" s="5">
        <f t="shared" si="0"/>
        <v>280</v>
      </c>
      <c r="K58" s="8">
        <f t="shared" si="1"/>
        <v>70</v>
      </c>
      <c r="L58" s="6">
        <f t="shared" si="2"/>
        <v>0.7</v>
      </c>
      <c r="M58" s="5">
        <f t="shared" si="3"/>
        <v>75</v>
      </c>
      <c r="N58" s="5">
        <f t="shared" si="4"/>
        <v>66</v>
      </c>
    </row>
    <row r="59" spans="1:14" ht="20.25" customHeight="1">
      <c r="A59" s="5" t="s">
        <v>128</v>
      </c>
      <c r="B59" s="5" t="s">
        <v>129</v>
      </c>
      <c r="C59" s="5" t="s">
        <v>21</v>
      </c>
      <c r="D59" s="5" t="s">
        <v>15</v>
      </c>
      <c r="E59" s="5">
        <v>89</v>
      </c>
      <c r="F59" s="5">
        <v>85</v>
      </c>
      <c r="G59" s="5">
        <v>93</v>
      </c>
      <c r="H59" s="5">
        <v>92</v>
      </c>
      <c r="I59" s="6">
        <v>0.97</v>
      </c>
      <c r="J59" s="5">
        <f t="shared" si="0"/>
        <v>359</v>
      </c>
      <c r="K59" s="8">
        <f t="shared" si="1"/>
        <v>89.75</v>
      </c>
      <c r="L59" s="6">
        <f t="shared" si="2"/>
        <v>0.89749999999999996</v>
      </c>
      <c r="M59" s="5">
        <f t="shared" si="3"/>
        <v>93</v>
      </c>
      <c r="N59" s="5">
        <f t="shared" si="4"/>
        <v>85</v>
      </c>
    </row>
    <row r="60" spans="1:14" ht="20.25" customHeight="1">
      <c r="A60" s="5" t="s">
        <v>130</v>
      </c>
      <c r="B60" s="5" t="s">
        <v>131</v>
      </c>
      <c r="C60" s="5" t="s">
        <v>18</v>
      </c>
      <c r="D60" s="5" t="s">
        <v>12</v>
      </c>
      <c r="E60" s="5">
        <v>55</v>
      </c>
      <c r="F60" s="5">
        <v>60</v>
      </c>
      <c r="G60" s="5">
        <v>53</v>
      </c>
      <c r="H60" s="5">
        <v>64</v>
      </c>
      <c r="I60" s="6">
        <v>0.76</v>
      </c>
      <c r="J60" s="5">
        <f t="shared" si="0"/>
        <v>232</v>
      </c>
      <c r="K60" s="8">
        <f t="shared" si="1"/>
        <v>58</v>
      </c>
      <c r="L60" s="6">
        <f t="shared" si="2"/>
        <v>0.57999999999999996</v>
      </c>
      <c r="M60" s="5">
        <f t="shared" si="3"/>
        <v>64</v>
      </c>
      <c r="N60" s="5">
        <f t="shared" si="4"/>
        <v>53</v>
      </c>
    </row>
    <row r="61" spans="1:14" ht="20.25" customHeight="1">
      <c r="A61" s="5" t="s">
        <v>132</v>
      </c>
      <c r="B61" s="5" t="s">
        <v>133</v>
      </c>
      <c r="C61" s="5" t="s">
        <v>11</v>
      </c>
      <c r="D61" s="5" t="s">
        <v>15</v>
      </c>
      <c r="E61" s="5">
        <v>76</v>
      </c>
      <c r="F61" s="5">
        <v>82</v>
      </c>
      <c r="G61" s="5">
        <v>79</v>
      </c>
      <c r="H61" s="5">
        <v>84</v>
      </c>
      <c r="I61" s="6">
        <v>0.91</v>
      </c>
      <c r="J61" s="5">
        <f t="shared" si="0"/>
        <v>321</v>
      </c>
      <c r="K61" s="8">
        <f t="shared" si="1"/>
        <v>80.25</v>
      </c>
      <c r="L61" s="6">
        <f t="shared" si="2"/>
        <v>0.80249999999999999</v>
      </c>
      <c r="M61" s="5">
        <f t="shared" si="3"/>
        <v>84</v>
      </c>
      <c r="N61" s="5">
        <f t="shared" si="4"/>
        <v>76</v>
      </c>
    </row>
    <row r="62" spans="1:14" ht="20.25" customHeight="1">
      <c r="A62" s="5" t="s">
        <v>134</v>
      </c>
      <c r="B62" s="5" t="s">
        <v>135</v>
      </c>
      <c r="C62" s="5" t="s">
        <v>21</v>
      </c>
      <c r="D62" s="5" t="s">
        <v>12</v>
      </c>
      <c r="E62" s="5">
        <v>93</v>
      </c>
      <c r="F62" s="5">
        <v>90</v>
      </c>
      <c r="G62" s="5">
        <v>95</v>
      </c>
      <c r="H62" s="5">
        <v>97</v>
      </c>
      <c r="I62" s="6">
        <v>0.99</v>
      </c>
      <c r="J62" s="5">
        <f t="shared" si="0"/>
        <v>375</v>
      </c>
      <c r="K62" s="8">
        <f t="shared" si="1"/>
        <v>93.75</v>
      </c>
      <c r="L62" s="6">
        <f t="shared" si="2"/>
        <v>0.9375</v>
      </c>
      <c r="M62" s="5">
        <f t="shared" si="3"/>
        <v>97</v>
      </c>
      <c r="N62" s="5">
        <f t="shared" si="4"/>
        <v>90</v>
      </c>
    </row>
    <row r="63" spans="1:14" ht="20.25" customHeight="1">
      <c r="A63" s="5" t="s">
        <v>136</v>
      </c>
      <c r="B63" s="5" t="s">
        <v>137</v>
      </c>
      <c r="C63" s="5" t="s">
        <v>18</v>
      </c>
      <c r="D63" s="5" t="s">
        <v>15</v>
      </c>
      <c r="E63" s="5">
        <v>71</v>
      </c>
      <c r="F63" s="5">
        <v>67</v>
      </c>
      <c r="G63" s="5">
        <v>73</v>
      </c>
      <c r="H63" s="5">
        <v>77</v>
      </c>
      <c r="I63" s="6">
        <v>0.85</v>
      </c>
      <c r="J63" s="5">
        <f t="shared" si="0"/>
        <v>288</v>
      </c>
      <c r="K63" s="8">
        <f t="shared" si="1"/>
        <v>72</v>
      </c>
      <c r="L63" s="6">
        <f t="shared" si="2"/>
        <v>0.72</v>
      </c>
      <c r="M63" s="5">
        <f t="shared" si="3"/>
        <v>77</v>
      </c>
      <c r="N63" s="5">
        <f t="shared" si="4"/>
        <v>67</v>
      </c>
    </row>
    <row r="64" spans="1:14" ht="20.25" customHeight="1">
      <c r="A64" s="5" t="s">
        <v>138</v>
      </c>
      <c r="B64" s="5" t="s">
        <v>139</v>
      </c>
      <c r="C64" s="5" t="s">
        <v>11</v>
      </c>
      <c r="D64" s="5" t="s">
        <v>12</v>
      </c>
      <c r="E64" s="5">
        <v>45</v>
      </c>
      <c r="F64" s="5">
        <v>50</v>
      </c>
      <c r="G64" s="5">
        <v>47</v>
      </c>
      <c r="H64" s="5">
        <v>56</v>
      </c>
      <c r="I64" s="6">
        <v>0.72</v>
      </c>
      <c r="J64" s="5">
        <f t="shared" si="0"/>
        <v>198</v>
      </c>
      <c r="K64" s="8">
        <f t="shared" si="1"/>
        <v>49.5</v>
      </c>
      <c r="L64" s="6">
        <f t="shared" si="2"/>
        <v>0.495</v>
      </c>
      <c r="M64" s="5">
        <f t="shared" si="3"/>
        <v>56</v>
      </c>
      <c r="N64" s="5">
        <f t="shared" si="4"/>
        <v>45</v>
      </c>
    </row>
    <row r="65" spans="1:14" ht="20.25" customHeight="1">
      <c r="A65" s="5" t="s">
        <v>140</v>
      </c>
      <c r="B65" s="5" t="s">
        <v>141</v>
      </c>
      <c r="C65" s="5" t="s">
        <v>21</v>
      </c>
      <c r="D65" s="5" t="s">
        <v>15</v>
      </c>
      <c r="E65" s="5">
        <v>86</v>
      </c>
      <c r="F65" s="5">
        <v>91</v>
      </c>
      <c r="G65" s="5">
        <v>88</v>
      </c>
      <c r="H65" s="5">
        <v>94</v>
      </c>
      <c r="I65" s="6">
        <v>0.96</v>
      </c>
      <c r="J65" s="5">
        <f t="shared" si="0"/>
        <v>359</v>
      </c>
      <c r="K65" s="8">
        <f t="shared" si="1"/>
        <v>89.75</v>
      </c>
      <c r="L65" s="6">
        <f t="shared" si="2"/>
        <v>0.89749999999999996</v>
      </c>
      <c r="M65" s="5">
        <f t="shared" si="3"/>
        <v>94</v>
      </c>
      <c r="N65" s="5">
        <f t="shared" si="4"/>
        <v>86</v>
      </c>
    </row>
    <row r="66" spans="1:14" ht="20.25" customHeight="1">
      <c r="A66" s="5" t="s">
        <v>142</v>
      </c>
      <c r="B66" s="5" t="s">
        <v>143</v>
      </c>
      <c r="C66" s="5" t="s">
        <v>18</v>
      </c>
      <c r="D66" s="5" t="s">
        <v>12</v>
      </c>
      <c r="E66" s="5">
        <v>60</v>
      </c>
      <c r="F66" s="5">
        <v>65</v>
      </c>
      <c r="G66" s="5">
        <v>62</v>
      </c>
      <c r="H66" s="5">
        <v>69</v>
      </c>
      <c r="I66" s="6">
        <v>0.8</v>
      </c>
      <c r="J66" s="5">
        <f t="shared" si="0"/>
        <v>256</v>
      </c>
      <c r="K66" s="8">
        <f t="shared" si="1"/>
        <v>64</v>
      </c>
      <c r="L66" s="6">
        <f t="shared" si="2"/>
        <v>0.64</v>
      </c>
      <c r="M66" s="5">
        <f t="shared" si="3"/>
        <v>69</v>
      </c>
      <c r="N66" s="5">
        <f t="shared" si="4"/>
        <v>60</v>
      </c>
    </row>
    <row r="67" spans="1:14" ht="20.25" customHeight="1">
      <c r="A67" s="5" t="s">
        <v>144</v>
      </c>
      <c r="B67" s="5" t="s">
        <v>145</v>
      </c>
      <c r="C67" s="5" t="s">
        <v>11</v>
      </c>
      <c r="D67" s="5" t="s">
        <v>15</v>
      </c>
      <c r="E67" s="5">
        <v>79</v>
      </c>
      <c r="F67" s="5">
        <v>84</v>
      </c>
      <c r="G67" s="5">
        <v>81</v>
      </c>
      <c r="H67" s="5">
        <v>87</v>
      </c>
      <c r="I67" s="6">
        <v>0.92</v>
      </c>
      <c r="J67" s="5">
        <f t="shared" ref="J67:J101" si="5">SUM(E67:H67)</f>
        <v>331</v>
      </c>
      <c r="K67" s="8">
        <f t="shared" ref="K67:K101" si="6">AVERAGE(E67:H67)</f>
        <v>82.75</v>
      </c>
      <c r="L67" s="6">
        <f t="shared" ref="L67:L101" si="7">J67/400</f>
        <v>0.82750000000000001</v>
      </c>
      <c r="M67" s="5">
        <f t="shared" ref="M67:M101" si="8">MAX(E67:H67)</f>
        <v>87</v>
      </c>
      <c r="N67" s="5">
        <f t="shared" ref="N67:N101" si="9">MIN(E67:H67)</f>
        <v>79</v>
      </c>
    </row>
    <row r="68" spans="1:14" ht="20.25" customHeight="1">
      <c r="A68" s="5" t="s">
        <v>146</v>
      </c>
      <c r="B68" s="5" t="s">
        <v>147</v>
      </c>
      <c r="C68" s="5" t="s">
        <v>21</v>
      </c>
      <c r="D68" s="5" t="s">
        <v>12</v>
      </c>
      <c r="E68" s="5">
        <v>53</v>
      </c>
      <c r="F68" s="5">
        <v>57</v>
      </c>
      <c r="G68" s="5">
        <v>50</v>
      </c>
      <c r="H68" s="5">
        <v>61</v>
      </c>
      <c r="I68" s="6">
        <v>0.75</v>
      </c>
      <c r="J68" s="5">
        <f t="shared" si="5"/>
        <v>221</v>
      </c>
      <c r="K68" s="8">
        <f t="shared" si="6"/>
        <v>55.25</v>
      </c>
      <c r="L68" s="6">
        <f t="shared" si="7"/>
        <v>0.55249999999999999</v>
      </c>
      <c r="M68" s="5">
        <f t="shared" si="8"/>
        <v>61</v>
      </c>
      <c r="N68" s="5">
        <f t="shared" si="9"/>
        <v>50</v>
      </c>
    </row>
    <row r="69" spans="1:14" ht="20.25" customHeight="1">
      <c r="A69" s="5" t="s">
        <v>148</v>
      </c>
      <c r="B69" s="5" t="s">
        <v>149</v>
      </c>
      <c r="C69" s="5" t="s">
        <v>18</v>
      </c>
      <c r="D69" s="5" t="s">
        <v>15</v>
      </c>
      <c r="E69" s="5">
        <v>88</v>
      </c>
      <c r="F69" s="5">
        <v>92</v>
      </c>
      <c r="G69" s="5">
        <v>86</v>
      </c>
      <c r="H69" s="5">
        <v>90</v>
      </c>
      <c r="I69" s="6">
        <v>0.98</v>
      </c>
      <c r="J69" s="5">
        <f t="shared" si="5"/>
        <v>356</v>
      </c>
      <c r="K69" s="8">
        <f t="shared" si="6"/>
        <v>89</v>
      </c>
      <c r="L69" s="6">
        <f t="shared" si="7"/>
        <v>0.89</v>
      </c>
      <c r="M69" s="5">
        <f t="shared" si="8"/>
        <v>92</v>
      </c>
      <c r="N69" s="5">
        <f t="shared" si="9"/>
        <v>86</v>
      </c>
    </row>
    <row r="70" spans="1:14" ht="20.25" customHeight="1">
      <c r="A70" s="5" t="s">
        <v>150</v>
      </c>
      <c r="B70" s="5" t="s">
        <v>151</v>
      </c>
      <c r="C70" s="5" t="s">
        <v>11</v>
      </c>
      <c r="D70" s="5" t="s">
        <v>12</v>
      </c>
      <c r="E70" s="5">
        <v>68</v>
      </c>
      <c r="F70" s="5">
        <v>74</v>
      </c>
      <c r="G70" s="5">
        <v>71</v>
      </c>
      <c r="H70" s="5">
        <v>76</v>
      </c>
      <c r="I70" s="6">
        <v>0.83</v>
      </c>
      <c r="J70" s="5">
        <f t="shared" si="5"/>
        <v>289</v>
      </c>
      <c r="K70" s="8">
        <f t="shared" si="6"/>
        <v>72.25</v>
      </c>
      <c r="L70" s="6">
        <f t="shared" si="7"/>
        <v>0.72250000000000003</v>
      </c>
      <c r="M70" s="5">
        <f t="shared" si="8"/>
        <v>76</v>
      </c>
      <c r="N70" s="5">
        <f t="shared" si="9"/>
        <v>68</v>
      </c>
    </row>
    <row r="71" spans="1:14" ht="20.25" customHeight="1">
      <c r="A71" s="5" t="s">
        <v>152</v>
      </c>
      <c r="B71" s="5" t="s">
        <v>153</v>
      </c>
      <c r="C71" s="5" t="s">
        <v>21</v>
      </c>
      <c r="D71" s="5" t="s">
        <v>15</v>
      </c>
      <c r="E71" s="5">
        <v>95</v>
      </c>
      <c r="F71" s="5">
        <v>89</v>
      </c>
      <c r="G71" s="5">
        <v>94</v>
      </c>
      <c r="H71" s="5">
        <v>96</v>
      </c>
      <c r="I71" s="6">
        <v>0.99</v>
      </c>
      <c r="J71" s="5">
        <f t="shared" si="5"/>
        <v>374</v>
      </c>
      <c r="K71" s="8">
        <f t="shared" si="6"/>
        <v>93.5</v>
      </c>
      <c r="L71" s="6">
        <f t="shared" si="7"/>
        <v>0.93500000000000005</v>
      </c>
      <c r="M71" s="5">
        <f t="shared" si="8"/>
        <v>96</v>
      </c>
      <c r="N71" s="5">
        <f t="shared" si="9"/>
        <v>89</v>
      </c>
    </row>
    <row r="72" spans="1:14" ht="20.25" customHeight="1">
      <c r="A72" s="5" t="s">
        <v>154</v>
      </c>
      <c r="B72" s="5" t="s">
        <v>155</v>
      </c>
      <c r="C72" s="5" t="s">
        <v>18</v>
      </c>
      <c r="D72" s="5" t="s">
        <v>12</v>
      </c>
      <c r="E72" s="5">
        <v>39</v>
      </c>
      <c r="F72" s="5">
        <v>46</v>
      </c>
      <c r="G72" s="5">
        <v>42</v>
      </c>
      <c r="H72" s="5">
        <v>51</v>
      </c>
      <c r="I72" s="6">
        <v>0.68</v>
      </c>
      <c r="J72" s="5">
        <f t="shared" si="5"/>
        <v>178</v>
      </c>
      <c r="K72" s="8">
        <f t="shared" si="6"/>
        <v>44.5</v>
      </c>
      <c r="L72" s="6">
        <f t="shared" si="7"/>
        <v>0.44500000000000001</v>
      </c>
      <c r="M72" s="5">
        <f t="shared" si="8"/>
        <v>51</v>
      </c>
      <c r="N72" s="5">
        <f t="shared" si="9"/>
        <v>39</v>
      </c>
    </row>
    <row r="73" spans="1:14" ht="20.25" customHeight="1">
      <c r="A73" s="5" t="s">
        <v>156</v>
      </c>
      <c r="B73" s="5" t="s">
        <v>157</v>
      </c>
      <c r="C73" s="5" t="s">
        <v>11</v>
      </c>
      <c r="D73" s="5" t="s">
        <v>15</v>
      </c>
      <c r="E73" s="5">
        <v>81</v>
      </c>
      <c r="F73" s="5">
        <v>86</v>
      </c>
      <c r="G73" s="5">
        <v>83</v>
      </c>
      <c r="H73" s="5">
        <v>88</v>
      </c>
      <c r="I73" s="6">
        <v>0.94</v>
      </c>
      <c r="J73" s="5">
        <f t="shared" si="5"/>
        <v>338</v>
      </c>
      <c r="K73" s="8">
        <f t="shared" si="6"/>
        <v>84.5</v>
      </c>
      <c r="L73" s="6">
        <f t="shared" si="7"/>
        <v>0.84499999999999997</v>
      </c>
      <c r="M73" s="5">
        <f t="shared" si="8"/>
        <v>88</v>
      </c>
      <c r="N73" s="5">
        <f t="shared" si="9"/>
        <v>81</v>
      </c>
    </row>
    <row r="74" spans="1:14" ht="20.25" customHeight="1">
      <c r="A74" s="5" t="s">
        <v>158</v>
      </c>
      <c r="B74" s="5" t="s">
        <v>159</v>
      </c>
      <c r="C74" s="5" t="s">
        <v>21</v>
      </c>
      <c r="D74" s="5" t="s">
        <v>12</v>
      </c>
      <c r="E74" s="5">
        <v>74</v>
      </c>
      <c r="F74" s="5">
        <v>69</v>
      </c>
      <c r="G74" s="5">
        <v>77</v>
      </c>
      <c r="H74" s="5">
        <v>82</v>
      </c>
      <c r="I74" s="6">
        <v>0.89</v>
      </c>
      <c r="J74" s="5">
        <f t="shared" si="5"/>
        <v>302</v>
      </c>
      <c r="K74" s="8">
        <f t="shared" si="6"/>
        <v>75.5</v>
      </c>
      <c r="L74" s="6">
        <f t="shared" si="7"/>
        <v>0.755</v>
      </c>
      <c r="M74" s="5">
        <f t="shared" si="8"/>
        <v>82</v>
      </c>
      <c r="N74" s="5">
        <f t="shared" si="9"/>
        <v>69</v>
      </c>
    </row>
    <row r="75" spans="1:14" ht="20.25" customHeight="1">
      <c r="A75" s="5" t="s">
        <v>160</v>
      </c>
      <c r="B75" s="5" t="s">
        <v>161</v>
      </c>
      <c r="C75" s="5" t="s">
        <v>18</v>
      </c>
      <c r="D75" s="5" t="s">
        <v>15</v>
      </c>
      <c r="E75" s="5">
        <v>92</v>
      </c>
      <c r="F75" s="5">
        <v>96</v>
      </c>
      <c r="G75" s="5">
        <v>91</v>
      </c>
      <c r="H75" s="5">
        <v>95</v>
      </c>
      <c r="I75" s="6">
        <v>0.98</v>
      </c>
      <c r="J75" s="5">
        <f t="shared" si="5"/>
        <v>374</v>
      </c>
      <c r="K75" s="8">
        <f t="shared" si="6"/>
        <v>93.5</v>
      </c>
      <c r="L75" s="6">
        <f t="shared" si="7"/>
        <v>0.93500000000000005</v>
      </c>
      <c r="M75" s="5">
        <f t="shared" si="8"/>
        <v>96</v>
      </c>
      <c r="N75" s="5">
        <f t="shared" si="9"/>
        <v>91</v>
      </c>
    </row>
    <row r="76" spans="1:14" ht="20.25" customHeight="1">
      <c r="A76" s="5" t="s">
        <v>162</v>
      </c>
      <c r="B76" s="5" t="s">
        <v>163</v>
      </c>
      <c r="C76" s="5" t="s">
        <v>11</v>
      </c>
      <c r="D76" s="5" t="s">
        <v>12</v>
      </c>
      <c r="E76" s="5">
        <v>58</v>
      </c>
      <c r="F76" s="5">
        <v>54</v>
      </c>
      <c r="G76" s="5">
        <v>60</v>
      </c>
      <c r="H76" s="5">
        <v>67</v>
      </c>
      <c r="I76" s="6">
        <v>0.78</v>
      </c>
      <c r="J76" s="5">
        <f t="shared" si="5"/>
        <v>239</v>
      </c>
      <c r="K76" s="8">
        <f t="shared" si="6"/>
        <v>59.75</v>
      </c>
      <c r="L76" s="6">
        <f t="shared" si="7"/>
        <v>0.59750000000000003</v>
      </c>
      <c r="M76" s="5">
        <f t="shared" si="8"/>
        <v>67</v>
      </c>
      <c r="N76" s="5">
        <f t="shared" si="9"/>
        <v>54</v>
      </c>
    </row>
    <row r="77" spans="1:14" ht="20.25" customHeight="1">
      <c r="A77" s="5" t="s">
        <v>164</v>
      </c>
      <c r="B77" s="5" t="s">
        <v>165</v>
      </c>
      <c r="C77" s="5" t="s">
        <v>21</v>
      </c>
      <c r="D77" s="5" t="s">
        <v>12</v>
      </c>
      <c r="E77" s="5">
        <v>77</v>
      </c>
      <c r="F77" s="5">
        <v>81</v>
      </c>
      <c r="G77" s="5">
        <v>75</v>
      </c>
      <c r="H77" s="5">
        <v>84</v>
      </c>
      <c r="I77" s="6">
        <v>0.9</v>
      </c>
      <c r="J77" s="5">
        <f t="shared" si="5"/>
        <v>317</v>
      </c>
      <c r="K77" s="8">
        <f t="shared" si="6"/>
        <v>79.25</v>
      </c>
      <c r="L77" s="6">
        <f t="shared" si="7"/>
        <v>0.79249999999999998</v>
      </c>
      <c r="M77" s="5">
        <f t="shared" si="8"/>
        <v>84</v>
      </c>
      <c r="N77" s="5">
        <f t="shared" si="9"/>
        <v>75</v>
      </c>
    </row>
    <row r="78" spans="1:14" ht="20.25" customHeight="1">
      <c r="A78" s="5" t="s">
        <v>166</v>
      </c>
      <c r="B78" s="5" t="s">
        <v>167</v>
      </c>
      <c r="C78" s="5" t="s">
        <v>18</v>
      </c>
      <c r="D78" s="5" t="s">
        <v>15</v>
      </c>
      <c r="E78" s="5">
        <v>85</v>
      </c>
      <c r="F78" s="5">
        <v>88</v>
      </c>
      <c r="G78" s="5">
        <v>82</v>
      </c>
      <c r="H78" s="5">
        <v>91</v>
      </c>
      <c r="I78" s="6">
        <v>0.95</v>
      </c>
      <c r="J78" s="5">
        <f t="shared" si="5"/>
        <v>346</v>
      </c>
      <c r="K78" s="8">
        <f t="shared" si="6"/>
        <v>86.5</v>
      </c>
      <c r="L78" s="6">
        <f t="shared" si="7"/>
        <v>0.86499999999999999</v>
      </c>
      <c r="M78" s="5">
        <f t="shared" si="8"/>
        <v>91</v>
      </c>
      <c r="N78" s="5">
        <f t="shared" si="9"/>
        <v>82</v>
      </c>
    </row>
    <row r="79" spans="1:14" ht="20.25" customHeight="1">
      <c r="A79" s="5" t="s">
        <v>168</v>
      </c>
      <c r="B79" s="5" t="s">
        <v>169</v>
      </c>
      <c r="C79" s="5" t="s">
        <v>11</v>
      </c>
      <c r="D79" s="5" t="s">
        <v>15</v>
      </c>
      <c r="E79" s="5">
        <v>70</v>
      </c>
      <c r="F79" s="5">
        <v>76</v>
      </c>
      <c r="G79" s="5">
        <v>73</v>
      </c>
      <c r="H79" s="5">
        <v>79</v>
      </c>
      <c r="I79" s="6">
        <v>0.86</v>
      </c>
      <c r="J79" s="5">
        <f t="shared" si="5"/>
        <v>298</v>
      </c>
      <c r="K79" s="8">
        <f t="shared" si="6"/>
        <v>74.5</v>
      </c>
      <c r="L79" s="6">
        <f t="shared" si="7"/>
        <v>0.745</v>
      </c>
      <c r="M79" s="5">
        <f t="shared" si="8"/>
        <v>79</v>
      </c>
      <c r="N79" s="5">
        <f t="shared" si="9"/>
        <v>70</v>
      </c>
    </row>
    <row r="80" spans="1:14" ht="20.25" customHeight="1">
      <c r="A80" s="5" t="s">
        <v>170</v>
      </c>
      <c r="B80" s="5" t="s">
        <v>171</v>
      </c>
      <c r="C80" s="5" t="s">
        <v>21</v>
      </c>
      <c r="D80" s="5" t="s">
        <v>12</v>
      </c>
      <c r="E80" s="5">
        <v>43</v>
      </c>
      <c r="F80" s="5">
        <v>49</v>
      </c>
      <c r="G80" s="5">
        <v>45</v>
      </c>
      <c r="H80" s="5">
        <v>54</v>
      </c>
      <c r="I80" s="6">
        <v>0.7</v>
      </c>
      <c r="J80" s="5">
        <f t="shared" si="5"/>
        <v>191</v>
      </c>
      <c r="K80" s="8">
        <f t="shared" si="6"/>
        <v>47.75</v>
      </c>
      <c r="L80" s="6">
        <f t="shared" si="7"/>
        <v>0.47749999999999998</v>
      </c>
      <c r="M80" s="5">
        <f t="shared" si="8"/>
        <v>54</v>
      </c>
      <c r="N80" s="5">
        <f t="shared" si="9"/>
        <v>43</v>
      </c>
    </row>
    <row r="81" spans="1:14" ht="20.25" customHeight="1">
      <c r="A81" s="5" t="s">
        <v>172</v>
      </c>
      <c r="B81" s="5" t="s">
        <v>173</v>
      </c>
      <c r="C81" s="5" t="s">
        <v>18</v>
      </c>
      <c r="D81" s="5" t="s">
        <v>15</v>
      </c>
      <c r="E81" s="5">
        <v>90</v>
      </c>
      <c r="F81" s="5">
        <v>87</v>
      </c>
      <c r="G81" s="5">
        <v>93</v>
      </c>
      <c r="H81" s="5">
        <v>96</v>
      </c>
      <c r="I81" s="6">
        <v>0.98</v>
      </c>
      <c r="J81" s="5">
        <f t="shared" si="5"/>
        <v>366</v>
      </c>
      <c r="K81" s="8">
        <f t="shared" si="6"/>
        <v>91.5</v>
      </c>
      <c r="L81" s="6">
        <f t="shared" si="7"/>
        <v>0.91500000000000004</v>
      </c>
      <c r="M81" s="5">
        <f t="shared" si="8"/>
        <v>96</v>
      </c>
      <c r="N81" s="5">
        <f t="shared" si="9"/>
        <v>87</v>
      </c>
    </row>
    <row r="82" spans="1:14" ht="20.25" customHeight="1">
      <c r="A82" s="5" t="s">
        <v>174</v>
      </c>
      <c r="B82" s="5" t="s">
        <v>175</v>
      </c>
      <c r="C82" s="5" t="s">
        <v>11</v>
      </c>
      <c r="D82" s="5" t="s">
        <v>12</v>
      </c>
      <c r="E82" s="5">
        <v>64</v>
      </c>
      <c r="F82" s="5">
        <v>69</v>
      </c>
      <c r="G82" s="5">
        <v>66</v>
      </c>
      <c r="H82" s="5">
        <v>72</v>
      </c>
      <c r="I82" s="6">
        <v>0.82</v>
      </c>
      <c r="J82" s="5">
        <f t="shared" si="5"/>
        <v>271</v>
      </c>
      <c r="K82" s="8">
        <f t="shared" si="6"/>
        <v>67.75</v>
      </c>
      <c r="L82" s="6">
        <f t="shared" si="7"/>
        <v>0.67749999999999999</v>
      </c>
      <c r="M82" s="5">
        <f t="shared" si="8"/>
        <v>72</v>
      </c>
      <c r="N82" s="5">
        <f t="shared" si="9"/>
        <v>64</v>
      </c>
    </row>
    <row r="83" spans="1:14" ht="20.25" customHeight="1">
      <c r="A83" s="5" t="s">
        <v>176</v>
      </c>
      <c r="B83" s="5" t="s">
        <v>177</v>
      </c>
      <c r="C83" s="5" t="s">
        <v>21</v>
      </c>
      <c r="D83" s="5" t="s">
        <v>15</v>
      </c>
      <c r="E83" s="5">
        <v>83</v>
      </c>
      <c r="F83" s="5">
        <v>79</v>
      </c>
      <c r="G83" s="5">
        <v>87</v>
      </c>
      <c r="H83" s="5">
        <v>89</v>
      </c>
      <c r="I83" s="6">
        <v>0.93</v>
      </c>
      <c r="J83" s="5">
        <f t="shared" si="5"/>
        <v>338</v>
      </c>
      <c r="K83" s="8">
        <f t="shared" si="6"/>
        <v>84.5</v>
      </c>
      <c r="L83" s="6">
        <f t="shared" si="7"/>
        <v>0.84499999999999997</v>
      </c>
      <c r="M83" s="5">
        <f t="shared" si="8"/>
        <v>89</v>
      </c>
      <c r="N83" s="5">
        <f t="shared" si="9"/>
        <v>79</v>
      </c>
    </row>
    <row r="84" spans="1:14" ht="20.25" customHeight="1">
      <c r="A84" s="5" t="s">
        <v>178</v>
      </c>
      <c r="B84" s="5" t="s">
        <v>179</v>
      </c>
      <c r="C84" s="5" t="s">
        <v>18</v>
      </c>
      <c r="D84" s="5" t="s">
        <v>12</v>
      </c>
      <c r="E84" s="5">
        <v>51</v>
      </c>
      <c r="F84" s="5">
        <v>56</v>
      </c>
      <c r="G84" s="5">
        <v>54</v>
      </c>
      <c r="H84" s="5">
        <v>63</v>
      </c>
      <c r="I84" s="6">
        <v>0.76</v>
      </c>
      <c r="J84" s="5">
        <f t="shared" si="5"/>
        <v>224</v>
      </c>
      <c r="K84" s="8">
        <f t="shared" si="6"/>
        <v>56</v>
      </c>
      <c r="L84" s="6">
        <f t="shared" si="7"/>
        <v>0.56000000000000005</v>
      </c>
      <c r="M84" s="5">
        <f t="shared" si="8"/>
        <v>63</v>
      </c>
      <c r="N84" s="5">
        <f t="shared" si="9"/>
        <v>51</v>
      </c>
    </row>
    <row r="85" spans="1:14" ht="20.25" customHeight="1">
      <c r="A85" s="5" t="s">
        <v>180</v>
      </c>
      <c r="B85" s="5" t="s">
        <v>181</v>
      </c>
      <c r="C85" s="5" t="s">
        <v>11</v>
      </c>
      <c r="D85" s="5" t="s">
        <v>15</v>
      </c>
      <c r="E85" s="5">
        <v>96</v>
      </c>
      <c r="F85" s="5">
        <v>94</v>
      </c>
      <c r="G85" s="5">
        <v>97</v>
      </c>
      <c r="H85" s="5">
        <v>98</v>
      </c>
      <c r="I85" s="6">
        <v>1</v>
      </c>
      <c r="J85" s="5">
        <f t="shared" si="5"/>
        <v>385</v>
      </c>
      <c r="K85" s="8">
        <f t="shared" si="6"/>
        <v>96.25</v>
      </c>
      <c r="L85" s="6">
        <f t="shared" si="7"/>
        <v>0.96250000000000002</v>
      </c>
      <c r="M85" s="5">
        <f t="shared" si="8"/>
        <v>98</v>
      </c>
      <c r="N85" s="5">
        <f t="shared" si="9"/>
        <v>94</v>
      </c>
    </row>
    <row r="86" spans="1:14" ht="20.25" customHeight="1">
      <c r="A86" s="5" t="s">
        <v>182</v>
      </c>
      <c r="B86" s="5" t="s">
        <v>183</v>
      </c>
      <c r="C86" s="5" t="s">
        <v>21</v>
      </c>
      <c r="D86" s="5" t="s">
        <v>12</v>
      </c>
      <c r="E86" s="5">
        <v>72</v>
      </c>
      <c r="F86" s="5">
        <v>77</v>
      </c>
      <c r="G86" s="5">
        <v>70</v>
      </c>
      <c r="H86" s="5">
        <v>81</v>
      </c>
      <c r="I86" s="6">
        <v>0.88</v>
      </c>
      <c r="J86" s="5">
        <f t="shared" si="5"/>
        <v>300</v>
      </c>
      <c r="K86" s="8">
        <f t="shared" si="6"/>
        <v>75</v>
      </c>
      <c r="L86" s="6">
        <f t="shared" si="7"/>
        <v>0.75</v>
      </c>
      <c r="M86" s="5">
        <f t="shared" si="8"/>
        <v>81</v>
      </c>
      <c r="N86" s="5">
        <f t="shared" si="9"/>
        <v>70</v>
      </c>
    </row>
    <row r="87" spans="1:14" ht="20.25" customHeight="1">
      <c r="A87" s="5" t="s">
        <v>184</v>
      </c>
      <c r="B87" s="5" t="s">
        <v>185</v>
      </c>
      <c r="C87" s="5" t="s">
        <v>18</v>
      </c>
      <c r="D87" s="5" t="s">
        <v>15</v>
      </c>
      <c r="E87" s="5">
        <v>79</v>
      </c>
      <c r="F87" s="5">
        <v>85</v>
      </c>
      <c r="G87" s="5">
        <v>82</v>
      </c>
      <c r="H87" s="5">
        <v>86</v>
      </c>
      <c r="I87" s="6">
        <v>0.92</v>
      </c>
      <c r="J87" s="5">
        <f t="shared" si="5"/>
        <v>332</v>
      </c>
      <c r="K87" s="8">
        <f t="shared" si="6"/>
        <v>83</v>
      </c>
      <c r="L87" s="6">
        <f t="shared" si="7"/>
        <v>0.83</v>
      </c>
      <c r="M87" s="5">
        <f t="shared" si="8"/>
        <v>86</v>
      </c>
      <c r="N87" s="5">
        <f t="shared" si="9"/>
        <v>79</v>
      </c>
    </row>
    <row r="88" spans="1:14" ht="20.25" customHeight="1">
      <c r="A88" s="5" t="s">
        <v>186</v>
      </c>
      <c r="B88" s="5" t="s">
        <v>187</v>
      </c>
      <c r="C88" s="5" t="s">
        <v>11</v>
      </c>
      <c r="D88" s="5" t="s">
        <v>12</v>
      </c>
      <c r="E88" s="5">
        <v>46</v>
      </c>
      <c r="F88" s="5">
        <v>52</v>
      </c>
      <c r="G88" s="5">
        <v>48</v>
      </c>
      <c r="H88" s="5">
        <v>57</v>
      </c>
      <c r="I88" s="6">
        <v>0.73</v>
      </c>
      <c r="J88" s="5">
        <f t="shared" si="5"/>
        <v>203</v>
      </c>
      <c r="K88" s="8">
        <f t="shared" si="6"/>
        <v>50.75</v>
      </c>
      <c r="L88" s="6">
        <f t="shared" si="7"/>
        <v>0.50749999999999995</v>
      </c>
      <c r="M88" s="5">
        <f t="shared" si="8"/>
        <v>57</v>
      </c>
      <c r="N88" s="5">
        <f t="shared" si="9"/>
        <v>46</v>
      </c>
    </row>
    <row r="89" spans="1:14" ht="20.25" customHeight="1">
      <c r="A89" s="5" t="s">
        <v>188</v>
      </c>
      <c r="B89" s="5" t="s">
        <v>189</v>
      </c>
      <c r="C89" s="5" t="s">
        <v>21</v>
      </c>
      <c r="D89" s="5" t="s">
        <v>15</v>
      </c>
      <c r="E89" s="5">
        <v>87</v>
      </c>
      <c r="F89" s="5">
        <v>91</v>
      </c>
      <c r="G89" s="5">
        <v>89</v>
      </c>
      <c r="H89" s="5">
        <v>94</v>
      </c>
      <c r="I89" s="6">
        <v>0.97</v>
      </c>
      <c r="J89" s="5">
        <f t="shared" si="5"/>
        <v>361</v>
      </c>
      <c r="K89" s="8">
        <f t="shared" si="6"/>
        <v>90.25</v>
      </c>
      <c r="L89" s="6">
        <f t="shared" si="7"/>
        <v>0.90249999999999997</v>
      </c>
      <c r="M89" s="5">
        <f t="shared" si="8"/>
        <v>94</v>
      </c>
      <c r="N89" s="5">
        <f t="shared" si="9"/>
        <v>87</v>
      </c>
    </row>
    <row r="90" spans="1:14" ht="20.25" customHeight="1">
      <c r="A90" s="5" t="s">
        <v>190</v>
      </c>
      <c r="B90" s="5" t="s">
        <v>191</v>
      </c>
      <c r="C90" s="5" t="s">
        <v>18</v>
      </c>
      <c r="D90" s="5" t="s">
        <v>12</v>
      </c>
      <c r="E90" s="5">
        <v>61</v>
      </c>
      <c r="F90" s="5">
        <v>66</v>
      </c>
      <c r="G90" s="5">
        <v>63</v>
      </c>
      <c r="H90" s="5">
        <v>71</v>
      </c>
      <c r="I90" s="6">
        <v>0.8</v>
      </c>
      <c r="J90" s="5">
        <f t="shared" si="5"/>
        <v>261</v>
      </c>
      <c r="K90" s="8">
        <f t="shared" si="6"/>
        <v>65.25</v>
      </c>
      <c r="L90" s="6">
        <f t="shared" si="7"/>
        <v>0.65249999999999997</v>
      </c>
      <c r="M90" s="5">
        <f t="shared" si="8"/>
        <v>71</v>
      </c>
      <c r="N90" s="5">
        <f t="shared" si="9"/>
        <v>61</v>
      </c>
    </row>
    <row r="91" spans="1:14" ht="20.25" customHeight="1">
      <c r="A91" s="5" t="s">
        <v>192</v>
      </c>
      <c r="B91" s="5" t="s">
        <v>193</v>
      </c>
      <c r="C91" s="5" t="s">
        <v>11</v>
      </c>
      <c r="D91" s="5" t="s">
        <v>15</v>
      </c>
      <c r="E91" s="5">
        <v>93</v>
      </c>
      <c r="F91" s="5">
        <v>95</v>
      </c>
      <c r="G91" s="5">
        <v>92</v>
      </c>
      <c r="H91" s="5">
        <v>97</v>
      </c>
      <c r="I91" s="6">
        <v>0.99</v>
      </c>
      <c r="J91" s="5">
        <f t="shared" si="5"/>
        <v>377</v>
      </c>
      <c r="K91" s="8">
        <f t="shared" si="6"/>
        <v>94.25</v>
      </c>
      <c r="L91" s="6">
        <f t="shared" si="7"/>
        <v>0.9425</v>
      </c>
      <c r="M91" s="5">
        <f t="shared" si="8"/>
        <v>97</v>
      </c>
      <c r="N91" s="5">
        <f t="shared" si="9"/>
        <v>92</v>
      </c>
    </row>
    <row r="92" spans="1:14" ht="20.25" customHeight="1">
      <c r="A92" s="5" t="s">
        <v>194</v>
      </c>
      <c r="B92" s="5" t="s">
        <v>195</v>
      </c>
      <c r="C92" s="5" t="s">
        <v>21</v>
      </c>
      <c r="D92" s="5" t="s">
        <v>12</v>
      </c>
      <c r="E92" s="5">
        <v>56</v>
      </c>
      <c r="F92" s="5">
        <v>62</v>
      </c>
      <c r="G92" s="5">
        <v>58</v>
      </c>
      <c r="H92" s="5">
        <v>65</v>
      </c>
      <c r="I92" s="6">
        <v>0.77</v>
      </c>
      <c r="J92" s="5">
        <f t="shared" si="5"/>
        <v>241</v>
      </c>
      <c r="K92" s="8">
        <f t="shared" si="6"/>
        <v>60.25</v>
      </c>
      <c r="L92" s="6">
        <f t="shared" si="7"/>
        <v>0.60250000000000004</v>
      </c>
      <c r="M92" s="5">
        <f t="shared" si="8"/>
        <v>65</v>
      </c>
      <c r="N92" s="5">
        <f t="shared" si="9"/>
        <v>56</v>
      </c>
    </row>
    <row r="93" spans="1:14" ht="20.25" customHeight="1">
      <c r="A93" s="5" t="s">
        <v>196</v>
      </c>
      <c r="B93" s="5" t="s">
        <v>197</v>
      </c>
      <c r="C93" s="5" t="s">
        <v>18</v>
      </c>
      <c r="D93" s="5" t="s">
        <v>15</v>
      </c>
      <c r="E93" s="5">
        <v>82</v>
      </c>
      <c r="F93" s="5">
        <v>80</v>
      </c>
      <c r="G93" s="5">
        <v>85</v>
      </c>
      <c r="H93" s="5">
        <v>88</v>
      </c>
      <c r="I93" s="6">
        <v>0.94</v>
      </c>
      <c r="J93" s="5">
        <f t="shared" si="5"/>
        <v>335</v>
      </c>
      <c r="K93" s="8">
        <f t="shared" si="6"/>
        <v>83.75</v>
      </c>
      <c r="L93" s="6">
        <f t="shared" si="7"/>
        <v>0.83750000000000002</v>
      </c>
      <c r="M93" s="5">
        <f t="shared" si="8"/>
        <v>88</v>
      </c>
      <c r="N93" s="5">
        <f t="shared" si="9"/>
        <v>80</v>
      </c>
    </row>
    <row r="94" spans="1:14" ht="20.25" customHeight="1">
      <c r="A94" s="5" t="s">
        <v>198</v>
      </c>
      <c r="B94" s="5" t="s">
        <v>199</v>
      </c>
      <c r="C94" s="5" t="s">
        <v>11</v>
      </c>
      <c r="D94" s="5" t="s">
        <v>12</v>
      </c>
      <c r="E94" s="5">
        <v>69</v>
      </c>
      <c r="F94" s="5">
        <v>73</v>
      </c>
      <c r="G94" s="5">
        <v>67</v>
      </c>
      <c r="H94" s="5">
        <v>76</v>
      </c>
      <c r="I94" s="6">
        <v>0.84</v>
      </c>
      <c r="J94" s="5">
        <f t="shared" si="5"/>
        <v>285</v>
      </c>
      <c r="K94" s="8">
        <f t="shared" si="6"/>
        <v>71.25</v>
      </c>
      <c r="L94" s="6">
        <f t="shared" si="7"/>
        <v>0.71250000000000002</v>
      </c>
      <c r="M94" s="5">
        <f t="shared" si="8"/>
        <v>76</v>
      </c>
      <c r="N94" s="5">
        <f t="shared" si="9"/>
        <v>67</v>
      </c>
    </row>
    <row r="95" spans="1:14" ht="20.25" customHeight="1">
      <c r="A95" s="5" t="s">
        <v>200</v>
      </c>
      <c r="B95" s="5" t="s">
        <v>201</v>
      </c>
      <c r="C95" s="5" t="s">
        <v>21</v>
      </c>
      <c r="D95" s="5" t="s">
        <v>15</v>
      </c>
      <c r="E95" s="5">
        <v>91</v>
      </c>
      <c r="F95" s="5">
        <v>89</v>
      </c>
      <c r="G95" s="5">
        <v>94</v>
      </c>
      <c r="H95" s="5">
        <v>96</v>
      </c>
      <c r="I95" s="6">
        <v>0.98</v>
      </c>
      <c r="J95" s="5">
        <f t="shared" si="5"/>
        <v>370</v>
      </c>
      <c r="K95" s="8">
        <f t="shared" si="6"/>
        <v>92.5</v>
      </c>
      <c r="L95" s="6">
        <f t="shared" si="7"/>
        <v>0.92500000000000004</v>
      </c>
      <c r="M95" s="5">
        <f t="shared" si="8"/>
        <v>96</v>
      </c>
      <c r="N95" s="5">
        <f t="shared" si="9"/>
        <v>89</v>
      </c>
    </row>
    <row r="96" spans="1:14" ht="20.25" customHeight="1">
      <c r="A96" s="5" t="s">
        <v>202</v>
      </c>
      <c r="B96" s="5" t="s">
        <v>203</v>
      </c>
      <c r="C96" s="5" t="s">
        <v>18</v>
      </c>
      <c r="D96" s="5" t="s">
        <v>12</v>
      </c>
      <c r="E96" s="5">
        <v>37</v>
      </c>
      <c r="F96" s="5">
        <v>44</v>
      </c>
      <c r="G96" s="5">
        <v>41</v>
      </c>
      <c r="H96" s="5">
        <v>50</v>
      </c>
      <c r="I96" s="6">
        <v>0.67</v>
      </c>
      <c r="J96" s="5">
        <f t="shared" si="5"/>
        <v>172</v>
      </c>
      <c r="K96" s="8">
        <f t="shared" si="6"/>
        <v>43</v>
      </c>
      <c r="L96" s="6">
        <f t="shared" si="7"/>
        <v>0.43</v>
      </c>
      <c r="M96" s="5">
        <f t="shared" si="8"/>
        <v>50</v>
      </c>
      <c r="N96" s="5">
        <f t="shared" si="9"/>
        <v>37</v>
      </c>
    </row>
    <row r="97" spans="1:14" ht="20.25" customHeight="1">
      <c r="A97" s="5" t="s">
        <v>204</v>
      </c>
      <c r="B97" s="5" t="s">
        <v>205</v>
      </c>
      <c r="C97" s="5" t="s">
        <v>11</v>
      </c>
      <c r="D97" s="5" t="s">
        <v>15</v>
      </c>
      <c r="E97" s="5">
        <v>76</v>
      </c>
      <c r="F97" s="5">
        <v>83</v>
      </c>
      <c r="G97" s="5">
        <v>78</v>
      </c>
      <c r="H97" s="5">
        <v>85</v>
      </c>
      <c r="I97" s="6">
        <v>0.91</v>
      </c>
      <c r="J97" s="5">
        <f t="shared" si="5"/>
        <v>322</v>
      </c>
      <c r="K97" s="8">
        <f t="shared" si="6"/>
        <v>80.5</v>
      </c>
      <c r="L97" s="6">
        <f t="shared" si="7"/>
        <v>0.80500000000000005</v>
      </c>
      <c r="M97" s="5">
        <f t="shared" si="8"/>
        <v>85</v>
      </c>
      <c r="N97" s="5">
        <f t="shared" si="9"/>
        <v>76</v>
      </c>
    </row>
    <row r="98" spans="1:14" ht="20.25" customHeight="1">
      <c r="A98" s="5" t="s">
        <v>206</v>
      </c>
      <c r="B98" s="5" t="s">
        <v>207</v>
      </c>
      <c r="C98" s="5" t="s">
        <v>21</v>
      </c>
      <c r="D98" s="5" t="s">
        <v>12</v>
      </c>
      <c r="E98" s="5">
        <v>88</v>
      </c>
      <c r="F98" s="5">
        <v>86</v>
      </c>
      <c r="G98" s="5">
        <v>90</v>
      </c>
      <c r="H98" s="5">
        <v>92</v>
      </c>
      <c r="I98" s="6">
        <v>0.96</v>
      </c>
      <c r="J98" s="5">
        <f t="shared" si="5"/>
        <v>356</v>
      </c>
      <c r="K98" s="8">
        <f t="shared" si="6"/>
        <v>89</v>
      </c>
      <c r="L98" s="6">
        <f t="shared" si="7"/>
        <v>0.89</v>
      </c>
      <c r="M98" s="5">
        <f t="shared" si="8"/>
        <v>92</v>
      </c>
      <c r="N98" s="5">
        <f t="shared" si="9"/>
        <v>86</v>
      </c>
    </row>
    <row r="99" spans="1:14" ht="20.25" customHeight="1">
      <c r="A99" s="5" t="s">
        <v>208</v>
      </c>
      <c r="B99" s="5" t="s">
        <v>209</v>
      </c>
      <c r="C99" s="5" t="s">
        <v>18</v>
      </c>
      <c r="D99" s="5" t="s">
        <v>15</v>
      </c>
      <c r="E99" s="5">
        <v>63</v>
      </c>
      <c r="F99" s="5">
        <v>70</v>
      </c>
      <c r="G99" s="5">
        <v>65</v>
      </c>
      <c r="H99" s="5">
        <v>73</v>
      </c>
      <c r="I99" s="6">
        <v>0.83</v>
      </c>
      <c r="J99" s="5">
        <f t="shared" si="5"/>
        <v>271</v>
      </c>
      <c r="K99" s="8">
        <f t="shared" si="6"/>
        <v>67.75</v>
      </c>
      <c r="L99" s="6">
        <f t="shared" si="7"/>
        <v>0.67749999999999999</v>
      </c>
      <c r="M99" s="5">
        <f t="shared" si="8"/>
        <v>73</v>
      </c>
      <c r="N99" s="5">
        <f t="shared" si="9"/>
        <v>63</v>
      </c>
    </row>
    <row r="100" spans="1:14" ht="20.25" customHeight="1">
      <c r="A100" s="5" t="s">
        <v>210</v>
      </c>
      <c r="B100" s="5" t="s">
        <v>211</v>
      </c>
      <c r="C100" s="5" t="s">
        <v>11</v>
      </c>
      <c r="D100" s="5" t="s">
        <v>12</v>
      </c>
      <c r="E100" s="5">
        <v>80</v>
      </c>
      <c r="F100" s="5">
        <v>78</v>
      </c>
      <c r="G100" s="5">
        <v>84</v>
      </c>
      <c r="H100" s="5">
        <v>87</v>
      </c>
      <c r="I100" s="6">
        <v>0.9</v>
      </c>
      <c r="J100" s="5">
        <f t="shared" si="5"/>
        <v>329</v>
      </c>
      <c r="K100" s="8">
        <f t="shared" si="6"/>
        <v>82.25</v>
      </c>
      <c r="L100" s="6">
        <f t="shared" si="7"/>
        <v>0.82250000000000001</v>
      </c>
      <c r="M100" s="5">
        <f t="shared" si="8"/>
        <v>87</v>
      </c>
      <c r="N100" s="5">
        <f t="shared" si="9"/>
        <v>78</v>
      </c>
    </row>
    <row r="101" spans="1:14" ht="20.25" customHeight="1">
      <c r="A101" s="5" t="s">
        <v>212</v>
      </c>
      <c r="B101" s="5" t="s">
        <v>213</v>
      </c>
      <c r="C101" s="5" t="s">
        <v>21</v>
      </c>
      <c r="D101" s="5" t="s">
        <v>15</v>
      </c>
      <c r="E101" s="5">
        <v>94</v>
      </c>
      <c r="F101" s="5">
        <v>92</v>
      </c>
      <c r="G101" s="5">
        <v>96</v>
      </c>
      <c r="H101" s="5">
        <v>98</v>
      </c>
      <c r="I101" s="6">
        <v>0.99</v>
      </c>
      <c r="J101" s="5">
        <f t="shared" si="5"/>
        <v>380</v>
      </c>
      <c r="K101" s="8">
        <f t="shared" si="6"/>
        <v>95</v>
      </c>
      <c r="L101" s="6">
        <f t="shared" si="7"/>
        <v>0.95</v>
      </c>
      <c r="M101" s="5">
        <f t="shared" si="8"/>
        <v>98</v>
      </c>
      <c r="N101" s="5">
        <f t="shared" si="9"/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08018-6125-42AE-B767-51AD028BDE11}">
  <dimension ref="A1:N101"/>
  <sheetViews>
    <sheetView workbookViewId="0"/>
  </sheetViews>
  <sheetFormatPr defaultRowHeight="15"/>
  <cols>
    <col min="1" max="9" width="28.7109375" style="9" customWidth="1"/>
    <col min="10" max="14" width="28.7109375" style="10" customWidth="1"/>
  </cols>
  <sheetData>
    <row r="1" spans="1:14" ht="30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214</v>
      </c>
      <c r="K1" s="4" t="s">
        <v>216</v>
      </c>
      <c r="L1" s="4" t="s">
        <v>219</v>
      </c>
      <c r="M1" s="4" t="s">
        <v>220</v>
      </c>
      <c r="N1" s="4" t="s">
        <v>221</v>
      </c>
    </row>
    <row r="2" spans="1:14" ht="20.25" customHeight="1">
      <c r="A2" s="9" t="s">
        <v>9</v>
      </c>
      <c r="B2" s="9" t="s">
        <v>10</v>
      </c>
      <c r="C2" s="9" t="s">
        <v>11</v>
      </c>
      <c r="D2" s="9" t="s">
        <v>12</v>
      </c>
      <c r="E2" s="9">
        <v>78</v>
      </c>
      <c r="F2" s="9">
        <v>85</v>
      </c>
      <c r="G2" s="9">
        <v>72</v>
      </c>
      <c r="H2" s="9">
        <v>90</v>
      </c>
      <c r="I2" s="11">
        <v>0.92</v>
      </c>
      <c r="J2" s="9">
        <f>SUM(E2:H2)</f>
        <v>325</v>
      </c>
      <c r="K2" s="11">
        <f>J2/400</f>
        <v>0.8125</v>
      </c>
      <c r="L2" s="9" t="str">
        <f>IF(MIN(E2:H2)&gt;=40,"PASS","FAIL")</f>
        <v>PASS</v>
      </c>
      <c r="M2" s="9" t="str">
        <f>IF(I2&gt;=75%,"ELIGIBLE","NOT ELIGIBLE")</f>
        <v>ELIGIBLE</v>
      </c>
      <c r="N2" s="9" t="str" cm="1">
        <f t="array" ref="N2">_xlfn.IFS(I2&gt;=95%,"EXCELLENT",I2&gt;=85%,"VERY GOOD",I2&gt;=75%,"GOOD",I2&gt;=65%,"IMPROVEMENT",I2&gt;=40%,"POOR",I2&gt;=0%,"WORST")</f>
        <v>VERY GOOD</v>
      </c>
    </row>
    <row r="3" spans="1:14" ht="20.25" customHeight="1">
      <c r="A3" s="9" t="s">
        <v>13</v>
      </c>
      <c r="B3" s="9" t="s">
        <v>14</v>
      </c>
      <c r="C3" s="9" t="s">
        <v>11</v>
      </c>
      <c r="D3" s="9" t="s">
        <v>15</v>
      </c>
      <c r="E3" s="9">
        <v>65</v>
      </c>
      <c r="F3" s="9">
        <v>71</v>
      </c>
      <c r="G3" s="9">
        <v>68</v>
      </c>
      <c r="H3" s="9">
        <v>75</v>
      </c>
      <c r="I3" s="11">
        <v>0.87</v>
      </c>
      <c r="J3" s="9">
        <f t="shared" ref="J3:J66" si="0">SUM(E3:H3)</f>
        <v>279</v>
      </c>
      <c r="K3" s="11">
        <f t="shared" ref="K3:K66" si="1">J3/400</f>
        <v>0.69750000000000001</v>
      </c>
      <c r="L3" s="9" t="str">
        <f t="shared" ref="L3:L66" si="2">IF(MIN(E3:H3)&gt;=40,"PASS","FAIL")</f>
        <v>PASS</v>
      </c>
      <c r="M3" s="9" t="str">
        <f t="shared" ref="M3:M66" si="3">IF(I3&gt;=75%,"ELIGIBLE","NOT ELIGIBLE")</f>
        <v>ELIGIBLE</v>
      </c>
      <c r="N3" s="9" t="str" cm="1">
        <f t="array" ref="N3">_xlfn.IFS(I3&gt;=95%,"EXCELLENT",I3&gt;=85%,"VERY GOOD",I3&gt;=75%,"GOOD",I3&gt;=65%,"IMPROVEMENT",I3&gt;=40%,"POOR",I3&gt;=0%,"WORST")</f>
        <v>VERY GOOD</v>
      </c>
    </row>
    <row r="4" spans="1:14" ht="20.25" customHeight="1">
      <c r="A4" s="9" t="s">
        <v>16</v>
      </c>
      <c r="B4" s="9" t="s">
        <v>17</v>
      </c>
      <c r="C4" s="9" t="s">
        <v>18</v>
      </c>
      <c r="D4" s="9" t="s">
        <v>12</v>
      </c>
      <c r="E4" s="9">
        <v>42</v>
      </c>
      <c r="F4" s="9">
        <v>55</v>
      </c>
      <c r="G4" s="9">
        <v>48</v>
      </c>
      <c r="H4" s="9">
        <v>61</v>
      </c>
      <c r="I4" s="11">
        <v>0.74</v>
      </c>
      <c r="J4" s="9">
        <f t="shared" si="0"/>
        <v>206</v>
      </c>
      <c r="K4" s="11">
        <f t="shared" si="1"/>
        <v>0.51500000000000001</v>
      </c>
      <c r="L4" s="9" t="str">
        <f t="shared" si="2"/>
        <v>PASS</v>
      </c>
      <c r="M4" s="9" t="str">
        <f t="shared" si="3"/>
        <v>NOT ELIGIBLE</v>
      </c>
      <c r="N4" s="9" t="str" cm="1">
        <f t="array" ref="N4">_xlfn.IFS(I4&gt;=95%,"EXCELLENT",I4&gt;=85%,"VERY GOOD",I4&gt;=75%,"GOOD",I4&gt;=65%,"IMPROVEMENT",I4&gt;=40%,"POOR",I4&gt;=0%,"WORST")</f>
        <v>IMPROVEMENT</v>
      </c>
    </row>
    <row r="5" spans="1:14" ht="20.25" customHeight="1">
      <c r="A5" s="9" t="s">
        <v>19</v>
      </c>
      <c r="B5" s="9" t="s">
        <v>20</v>
      </c>
      <c r="C5" s="9" t="s">
        <v>21</v>
      </c>
      <c r="D5" s="9" t="s">
        <v>15</v>
      </c>
      <c r="E5" s="9">
        <v>91</v>
      </c>
      <c r="F5" s="9">
        <v>88</v>
      </c>
      <c r="G5" s="9">
        <v>94</v>
      </c>
      <c r="H5" s="9">
        <v>96</v>
      </c>
      <c r="I5" s="11">
        <v>0.98</v>
      </c>
      <c r="J5" s="9">
        <f t="shared" si="0"/>
        <v>369</v>
      </c>
      <c r="K5" s="11">
        <f t="shared" si="1"/>
        <v>0.92249999999999999</v>
      </c>
      <c r="L5" s="9" t="str">
        <f t="shared" si="2"/>
        <v>PASS</v>
      </c>
      <c r="M5" s="9" t="str">
        <f t="shared" si="3"/>
        <v>ELIGIBLE</v>
      </c>
      <c r="N5" s="9" t="str" cm="1">
        <f t="array" ref="N5">_xlfn.IFS(I5&gt;=95%,"EXCELLENT",I5&gt;=85%,"VERY GOOD",I5&gt;=75%,"GOOD",I5&gt;=65%,"IMPROVEMENT",I5&gt;=40%,"POOR",I5&gt;=0%,"WORST")</f>
        <v>EXCELLENT</v>
      </c>
    </row>
    <row r="6" spans="1:14" ht="20.25" customHeight="1">
      <c r="A6" s="9" t="s">
        <v>22</v>
      </c>
      <c r="B6" s="9" t="s">
        <v>23</v>
      </c>
      <c r="C6" s="9" t="s">
        <v>18</v>
      </c>
      <c r="D6" s="9" t="s">
        <v>12</v>
      </c>
      <c r="E6" s="9">
        <v>56</v>
      </c>
      <c r="F6" s="9">
        <v>63</v>
      </c>
      <c r="G6" s="9">
        <v>59</v>
      </c>
      <c r="H6" s="9">
        <v>70</v>
      </c>
      <c r="I6" s="11">
        <v>0.81</v>
      </c>
      <c r="J6" s="9">
        <f t="shared" si="0"/>
        <v>248</v>
      </c>
      <c r="K6" s="11">
        <f t="shared" si="1"/>
        <v>0.62</v>
      </c>
      <c r="L6" s="9" t="str">
        <f t="shared" si="2"/>
        <v>PASS</v>
      </c>
      <c r="M6" s="9" t="str">
        <f t="shared" si="3"/>
        <v>ELIGIBLE</v>
      </c>
      <c r="N6" s="9" t="str" cm="1">
        <f t="array" ref="N6">_xlfn.IFS(I6&gt;=95%,"EXCELLENT",I6&gt;=85%,"VERY GOOD",I6&gt;=75%,"GOOD",I6&gt;=65%,"IMPROVEMENT",I6&gt;=40%,"POOR",I6&gt;=0%,"WORST")</f>
        <v>GOOD</v>
      </c>
    </row>
    <row r="7" spans="1:14" ht="20.25" customHeight="1">
      <c r="A7" s="9" t="s">
        <v>24</v>
      </c>
      <c r="B7" s="9" t="s">
        <v>25</v>
      </c>
      <c r="C7" s="9" t="s">
        <v>11</v>
      </c>
      <c r="D7" s="9" t="s">
        <v>15</v>
      </c>
      <c r="E7" s="9">
        <v>84</v>
      </c>
      <c r="F7" s="9">
        <v>79</v>
      </c>
      <c r="G7" s="9">
        <v>88</v>
      </c>
      <c r="H7" s="9">
        <v>91</v>
      </c>
      <c r="I7" s="11">
        <v>0.95</v>
      </c>
      <c r="J7" s="9">
        <f t="shared" si="0"/>
        <v>342</v>
      </c>
      <c r="K7" s="11">
        <f t="shared" si="1"/>
        <v>0.85499999999999998</v>
      </c>
      <c r="L7" s="9" t="str">
        <f t="shared" si="2"/>
        <v>PASS</v>
      </c>
      <c r="M7" s="9" t="str">
        <f t="shared" si="3"/>
        <v>ELIGIBLE</v>
      </c>
      <c r="N7" s="9" t="str" cm="1">
        <f t="array" ref="N7">_xlfn.IFS(I7&gt;=95%,"EXCELLENT",I7&gt;=85%,"VERY GOOD",I7&gt;=75%,"GOOD",I7&gt;=65%,"IMPROVEMENT",I7&gt;=40%,"POOR",I7&gt;=0%,"WORST")</f>
        <v>EXCELLENT</v>
      </c>
    </row>
    <row r="8" spans="1:14" ht="20.25" customHeight="1">
      <c r="A8" s="9" t="s">
        <v>26</v>
      </c>
      <c r="B8" s="9" t="s">
        <v>27</v>
      </c>
      <c r="C8" s="9" t="s">
        <v>21</v>
      </c>
      <c r="D8" s="9" t="s">
        <v>12</v>
      </c>
      <c r="E8" s="9">
        <v>38</v>
      </c>
      <c r="F8" s="9">
        <v>45</v>
      </c>
      <c r="G8" s="9">
        <v>41</v>
      </c>
      <c r="H8" s="9">
        <v>52</v>
      </c>
      <c r="I8" s="11">
        <v>0.69</v>
      </c>
      <c r="J8" s="9">
        <f t="shared" si="0"/>
        <v>176</v>
      </c>
      <c r="K8" s="11">
        <f t="shared" si="1"/>
        <v>0.44</v>
      </c>
      <c r="L8" s="9" t="str">
        <f t="shared" si="2"/>
        <v>FAIL</v>
      </c>
      <c r="M8" s="9" t="str">
        <f t="shared" si="3"/>
        <v>NOT ELIGIBLE</v>
      </c>
      <c r="N8" s="9" t="str" cm="1">
        <f t="array" ref="N8">_xlfn.IFS(I8&gt;=95%,"EXCELLENT",I8&gt;=85%,"VERY GOOD",I8&gt;=75%,"GOOD",I8&gt;=65%,"IMPROVEMENT",I8&gt;=40%,"POOR",I8&gt;=0%,"WORST")</f>
        <v>IMPROVEMENT</v>
      </c>
    </row>
    <row r="9" spans="1:14" ht="20.25" customHeight="1">
      <c r="A9" s="9" t="s">
        <v>28</v>
      </c>
      <c r="B9" s="9" t="s">
        <v>29</v>
      </c>
      <c r="C9" s="9" t="s">
        <v>18</v>
      </c>
      <c r="D9" s="9" t="s">
        <v>15</v>
      </c>
      <c r="E9" s="9">
        <v>73</v>
      </c>
      <c r="F9" s="9">
        <v>68</v>
      </c>
      <c r="G9" s="9">
        <v>76</v>
      </c>
      <c r="H9" s="9">
        <v>82</v>
      </c>
      <c r="I9" s="11">
        <v>0.89</v>
      </c>
      <c r="J9" s="9">
        <f t="shared" si="0"/>
        <v>299</v>
      </c>
      <c r="K9" s="11">
        <f t="shared" si="1"/>
        <v>0.74750000000000005</v>
      </c>
      <c r="L9" s="9" t="str">
        <f t="shared" si="2"/>
        <v>PASS</v>
      </c>
      <c r="M9" s="9" t="str">
        <f t="shared" si="3"/>
        <v>ELIGIBLE</v>
      </c>
      <c r="N9" s="9" t="str" cm="1">
        <f t="array" ref="N9">_xlfn.IFS(I9&gt;=95%,"EXCELLENT",I9&gt;=85%,"VERY GOOD",I9&gt;=75%,"GOOD",I9&gt;=65%,"IMPROVEMENT",I9&gt;=40%,"POOR",I9&gt;=0%,"WORST")</f>
        <v>VERY GOOD</v>
      </c>
    </row>
    <row r="10" spans="1:14" ht="20.25" customHeight="1">
      <c r="A10" s="9" t="s">
        <v>30</v>
      </c>
      <c r="B10" s="9" t="s">
        <v>31</v>
      </c>
      <c r="C10" s="9" t="s">
        <v>11</v>
      </c>
      <c r="D10" s="9" t="s">
        <v>12</v>
      </c>
      <c r="E10" s="9">
        <v>95</v>
      </c>
      <c r="F10" s="9">
        <v>92</v>
      </c>
      <c r="G10" s="9">
        <v>89</v>
      </c>
      <c r="H10" s="9">
        <v>97</v>
      </c>
      <c r="I10" s="11">
        <v>0.99</v>
      </c>
      <c r="J10" s="9">
        <f t="shared" si="0"/>
        <v>373</v>
      </c>
      <c r="K10" s="11">
        <f t="shared" si="1"/>
        <v>0.9325</v>
      </c>
      <c r="L10" s="9" t="str">
        <f t="shared" si="2"/>
        <v>PASS</v>
      </c>
      <c r="M10" s="9" t="str">
        <f t="shared" si="3"/>
        <v>ELIGIBLE</v>
      </c>
      <c r="N10" s="9" t="str" cm="1">
        <f t="array" ref="N10">_xlfn.IFS(I10&gt;=95%,"EXCELLENT",I10&gt;=85%,"VERY GOOD",I10&gt;=75%,"GOOD",I10&gt;=65%,"IMPROVEMENT",I10&gt;=40%,"POOR",I10&gt;=0%,"WORST")</f>
        <v>EXCELLENT</v>
      </c>
    </row>
    <row r="11" spans="1:14" ht="20.25" customHeight="1">
      <c r="A11" s="9" t="s">
        <v>32</v>
      </c>
      <c r="B11" s="9" t="s">
        <v>33</v>
      </c>
      <c r="C11" s="9" t="s">
        <v>21</v>
      </c>
      <c r="D11" s="9" t="s">
        <v>15</v>
      </c>
      <c r="E11" s="9">
        <v>61</v>
      </c>
      <c r="F11" s="9">
        <v>57</v>
      </c>
      <c r="G11" s="9">
        <v>64</v>
      </c>
      <c r="H11" s="9">
        <v>69</v>
      </c>
      <c r="I11" s="11">
        <v>0.78</v>
      </c>
      <c r="J11" s="9">
        <f t="shared" si="0"/>
        <v>251</v>
      </c>
      <c r="K11" s="11">
        <f t="shared" si="1"/>
        <v>0.62749999999999995</v>
      </c>
      <c r="L11" s="9" t="str">
        <f t="shared" si="2"/>
        <v>PASS</v>
      </c>
      <c r="M11" s="9" t="str">
        <f t="shared" si="3"/>
        <v>ELIGIBLE</v>
      </c>
      <c r="N11" s="9" t="str" cm="1">
        <f t="array" ref="N11">_xlfn.IFS(I11&gt;=95%,"EXCELLENT",I11&gt;=85%,"VERY GOOD",I11&gt;=75%,"GOOD",I11&gt;=65%,"IMPROVEMENT",I11&gt;=40%,"POOR",I11&gt;=0%,"WORST")</f>
        <v>GOOD</v>
      </c>
    </row>
    <row r="12" spans="1:14" ht="20.25" customHeight="1">
      <c r="A12" s="9" t="s">
        <v>34</v>
      </c>
      <c r="B12" s="9" t="s">
        <v>35</v>
      </c>
      <c r="C12" s="9" t="s">
        <v>18</v>
      </c>
      <c r="D12" s="9" t="s">
        <v>12</v>
      </c>
      <c r="E12" s="9">
        <v>82</v>
      </c>
      <c r="F12" s="9">
        <v>86</v>
      </c>
      <c r="G12" s="9">
        <v>79</v>
      </c>
      <c r="H12" s="9">
        <v>88</v>
      </c>
      <c r="I12" s="11">
        <v>0.93</v>
      </c>
      <c r="J12" s="9">
        <f t="shared" si="0"/>
        <v>335</v>
      </c>
      <c r="K12" s="11">
        <f t="shared" si="1"/>
        <v>0.83750000000000002</v>
      </c>
      <c r="L12" s="9" t="str">
        <f t="shared" si="2"/>
        <v>PASS</v>
      </c>
      <c r="M12" s="9" t="str">
        <f t="shared" si="3"/>
        <v>ELIGIBLE</v>
      </c>
      <c r="N12" s="9" t="str" cm="1">
        <f t="array" ref="N12">_xlfn.IFS(I12&gt;=95%,"EXCELLENT",I12&gt;=85%,"VERY GOOD",I12&gt;=75%,"GOOD",I12&gt;=65%,"IMPROVEMENT",I12&gt;=40%,"POOR",I12&gt;=0%,"WORST")</f>
        <v>VERY GOOD</v>
      </c>
    </row>
    <row r="13" spans="1:14" ht="20.25" customHeight="1">
      <c r="A13" s="9" t="s">
        <v>36</v>
      </c>
      <c r="B13" s="9" t="s">
        <v>37</v>
      </c>
      <c r="C13" s="9" t="s">
        <v>11</v>
      </c>
      <c r="D13" s="9" t="s">
        <v>15</v>
      </c>
      <c r="E13" s="9">
        <v>88</v>
      </c>
      <c r="F13" s="9">
        <v>91</v>
      </c>
      <c r="G13" s="9">
        <v>85</v>
      </c>
      <c r="H13" s="9">
        <v>94</v>
      </c>
      <c r="I13" s="11">
        <v>0.97</v>
      </c>
      <c r="J13" s="9">
        <f t="shared" si="0"/>
        <v>358</v>
      </c>
      <c r="K13" s="11">
        <f t="shared" si="1"/>
        <v>0.89500000000000002</v>
      </c>
      <c r="L13" s="9" t="str">
        <f t="shared" si="2"/>
        <v>PASS</v>
      </c>
      <c r="M13" s="9" t="str">
        <f t="shared" si="3"/>
        <v>ELIGIBLE</v>
      </c>
      <c r="N13" s="9" t="str" cm="1">
        <f t="array" ref="N13">_xlfn.IFS(I13&gt;=95%,"EXCELLENT",I13&gt;=85%,"VERY GOOD",I13&gt;=75%,"GOOD",I13&gt;=65%,"IMPROVEMENT",I13&gt;=40%,"POOR",I13&gt;=0%,"WORST")</f>
        <v>EXCELLENT</v>
      </c>
    </row>
    <row r="14" spans="1:14" ht="20.25" customHeight="1">
      <c r="A14" s="9" t="s">
        <v>38</v>
      </c>
      <c r="B14" s="9" t="s">
        <v>39</v>
      </c>
      <c r="C14" s="9" t="s">
        <v>21</v>
      </c>
      <c r="D14" s="9" t="s">
        <v>12</v>
      </c>
      <c r="E14" s="9">
        <v>47</v>
      </c>
      <c r="F14" s="9">
        <v>52</v>
      </c>
      <c r="G14" s="9">
        <v>44</v>
      </c>
      <c r="H14" s="9">
        <v>58</v>
      </c>
      <c r="I14" s="11">
        <v>0.72</v>
      </c>
      <c r="J14" s="9">
        <f t="shared" si="0"/>
        <v>201</v>
      </c>
      <c r="K14" s="11">
        <f t="shared" si="1"/>
        <v>0.50249999999999995</v>
      </c>
      <c r="L14" s="9" t="str">
        <f t="shared" si="2"/>
        <v>PASS</v>
      </c>
      <c r="M14" s="9" t="str">
        <f t="shared" si="3"/>
        <v>NOT ELIGIBLE</v>
      </c>
      <c r="N14" s="9" t="str" cm="1">
        <f t="array" ref="N14">_xlfn.IFS(I14&gt;=95%,"EXCELLENT",I14&gt;=85%,"VERY GOOD",I14&gt;=75%,"GOOD",I14&gt;=65%,"IMPROVEMENT",I14&gt;=40%,"POOR",I14&gt;=0%,"WORST")</f>
        <v>IMPROVEMENT</v>
      </c>
    </row>
    <row r="15" spans="1:14" ht="20.25" customHeight="1">
      <c r="A15" s="9" t="s">
        <v>40</v>
      </c>
      <c r="B15" s="9" t="s">
        <v>41</v>
      </c>
      <c r="C15" s="9" t="s">
        <v>18</v>
      </c>
      <c r="D15" s="9" t="s">
        <v>15</v>
      </c>
      <c r="E15" s="9">
        <v>76</v>
      </c>
      <c r="F15" s="9">
        <v>81</v>
      </c>
      <c r="G15" s="9">
        <v>73</v>
      </c>
      <c r="H15" s="9">
        <v>79</v>
      </c>
      <c r="I15" s="11">
        <v>0.9</v>
      </c>
      <c r="J15" s="9">
        <f t="shared" si="0"/>
        <v>309</v>
      </c>
      <c r="K15" s="11">
        <f t="shared" si="1"/>
        <v>0.77249999999999996</v>
      </c>
      <c r="L15" s="9" t="str">
        <f t="shared" si="2"/>
        <v>PASS</v>
      </c>
      <c r="M15" s="9" t="str">
        <f t="shared" si="3"/>
        <v>ELIGIBLE</v>
      </c>
      <c r="N15" s="9" t="str" cm="1">
        <f t="array" ref="N15">_xlfn.IFS(I15&gt;=95%,"EXCELLENT",I15&gt;=85%,"VERY GOOD",I15&gt;=75%,"GOOD",I15&gt;=65%,"IMPROVEMENT",I15&gt;=40%,"POOR",I15&gt;=0%,"WORST")</f>
        <v>VERY GOOD</v>
      </c>
    </row>
    <row r="16" spans="1:14" ht="20.25" customHeight="1">
      <c r="A16" s="9" t="s">
        <v>42</v>
      </c>
      <c r="B16" s="9" t="s">
        <v>43</v>
      </c>
      <c r="C16" s="9" t="s">
        <v>11</v>
      </c>
      <c r="D16" s="9" t="s">
        <v>12</v>
      </c>
      <c r="E16" s="9">
        <v>69</v>
      </c>
      <c r="F16" s="9">
        <v>74</v>
      </c>
      <c r="G16" s="9">
        <v>67</v>
      </c>
      <c r="H16" s="9">
        <v>72</v>
      </c>
      <c r="I16" s="11">
        <v>0.84</v>
      </c>
      <c r="J16" s="9">
        <f t="shared" si="0"/>
        <v>282</v>
      </c>
      <c r="K16" s="11">
        <f t="shared" si="1"/>
        <v>0.70499999999999996</v>
      </c>
      <c r="L16" s="9" t="str">
        <f t="shared" si="2"/>
        <v>PASS</v>
      </c>
      <c r="M16" s="9" t="str">
        <f t="shared" si="3"/>
        <v>ELIGIBLE</v>
      </c>
      <c r="N16" s="9" t="str" cm="1">
        <f t="array" ref="N16">_xlfn.IFS(I16&gt;=95%,"EXCELLENT",I16&gt;=85%,"VERY GOOD",I16&gt;=75%,"GOOD",I16&gt;=65%,"IMPROVEMENT",I16&gt;=40%,"POOR",I16&gt;=0%,"WORST")</f>
        <v>GOOD</v>
      </c>
    </row>
    <row r="17" spans="1:14" ht="20.25" customHeight="1">
      <c r="A17" s="9" t="s">
        <v>44</v>
      </c>
      <c r="B17" s="9" t="s">
        <v>45</v>
      </c>
      <c r="C17" s="9" t="s">
        <v>21</v>
      </c>
      <c r="D17" s="9" t="s">
        <v>15</v>
      </c>
      <c r="E17" s="9">
        <v>93</v>
      </c>
      <c r="F17" s="9">
        <v>89</v>
      </c>
      <c r="G17" s="9">
        <v>96</v>
      </c>
      <c r="H17" s="9">
        <v>91</v>
      </c>
      <c r="I17" s="11">
        <v>0.98</v>
      </c>
      <c r="J17" s="9">
        <f t="shared" si="0"/>
        <v>369</v>
      </c>
      <c r="K17" s="11">
        <f t="shared" si="1"/>
        <v>0.92249999999999999</v>
      </c>
      <c r="L17" s="9" t="str">
        <f t="shared" si="2"/>
        <v>PASS</v>
      </c>
      <c r="M17" s="9" t="str">
        <f t="shared" si="3"/>
        <v>ELIGIBLE</v>
      </c>
      <c r="N17" s="9" t="str" cm="1">
        <f t="array" ref="N17">_xlfn.IFS(I17&gt;=95%,"EXCELLENT",I17&gt;=85%,"VERY GOOD",I17&gt;=75%,"GOOD",I17&gt;=65%,"IMPROVEMENT",I17&gt;=40%,"POOR",I17&gt;=0%,"WORST")</f>
        <v>EXCELLENT</v>
      </c>
    </row>
    <row r="18" spans="1:14" ht="20.25" customHeight="1">
      <c r="A18" s="9" t="s">
        <v>46</v>
      </c>
      <c r="B18" s="9" t="s">
        <v>47</v>
      </c>
      <c r="C18" s="9" t="s">
        <v>18</v>
      </c>
      <c r="D18" s="9" t="s">
        <v>12</v>
      </c>
      <c r="E18" s="9">
        <v>54</v>
      </c>
      <c r="F18" s="9">
        <v>49</v>
      </c>
      <c r="G18" s="9">
        <v>57</v>
      </c>
      <c r="H18" s="9">
        <v>63</v>
      </c>
      <c r="I18" s="11">
        <v>0.76</v>
      </c>
      <c r="J18" s="9">
        <f t="shared" si="0"/>
        <v>223</v>
      </c>
      <c r="K18" s="11">
        <f t="shared" si="1"/>
        <v>0.5575</v>
      </c>
      <c r="L18" s="9" t="str">
        <f t="shared" si="2"/>
        <v>PASS</v>
      </c>
      <c r="M18" s="9" t="str">
        <f t="shared" si="3"/>
        <v>ELIGIBLE</v>
      </c>
      <c r="N18" s="9" t="str" cm="1">
        <f t="array" ref="N18">_xlfn.IFS(I18&gt;=95%,"EXCELLENT",I18&gt;=85%,"VERY GOOD",I18&gt;=75%,"GOOD",I18&gt;=65%,"IMPROVEMENT",I18&gt;=40%,"POOR",I18&gt;=0%,"WORST")</f>
        <v>GOOD</v>
      </c>
    </row>
    <row r="19" spans="1:14" ht="20.25" customHeight="1">
      <c r="A19" s="9" t="s">
        <v>48</v>
      </c>
      <c r="B19" s="9" t="s">
        <v>49</v>
      </c>
      <c r="C19" s="9" t="s">
        <v>11</v>
      </c>
      <c r="D19" s="9" t="s">
        <v>15</v>
      </c>
      <c r="E19" s="9">
        <v>81</v>
      </c>
      <c r="F19" s="9">
        <v>77</v>
      </c>
      <c r="G19" s="9">
        <v>84</v>
      </c>
      <c r="H19" s="9">
        <v>86</v>
      </c>
      <c r="I19" s="11">
        <v>0.91</v>
      </c>
      <c r="J19" s="9">
        <f t="shared" si="0"/>
        <v>328</v>
      </c>
      <c r="K19" s="11">
        <f t="shared" si="1"/>
        <v>0.82</v>
      </c>
      <c r="L19" s="9" t="str">
        <f t="shared" si="2"/>
        <v>PASS</v>
      </c>
      <c r="M19" s="9" t="str">
        <f t="shared" si="3"/>
        <v>ELIGIBLE</v>
      </c>
      <c r="N19" s="9" t="str" cm="1">
        <f t="array" ref="N19">_xlfn.IFS(I19&gt;=95%,"EXCELLENT",I19&gt;=85%,"VERY GOOD",I19&gt;=75%,"GOOD",I19&gt;=65%,"IMPROVEMENT",I19&gt;=40%,"POOR",I19&gt;=0%,"WORST")</f>
        <v>VERY GOOD</v>
      </c>
    </row>
    <row r="20" spans="1:14" ht="20.25" customHeight="1">
      <c r="A20" s="9" t="s">
        <v>50</v>
      </c>
      <c r="B20" s="9" t="s">
        <v>51</v>
      </c>
      <c r="C20" s="9" t="s">
        <v>21</v>
      </c>
      <c r="D20" s="9" t="s">
        <v>12</v>
      </c>
      <c r="E20" s="9">
        <v>35</v>
      </c>
      <c r="F20" s="9">
        <v>42</v>
      </c>
      <c r="G20" s="9">
        <v>39</v>
      </c>
      <c r="H20" s="9">
        <v>48</v>
      </c>
      <c r="I20" s="11">
        <v>0.65</v>
      </c>
      <c r="J20" s="9">
        <f t="shared" si="0"/>
        <v>164</v>
      </c>
      <c r="K20" s="11">
        <f t="shared" si="1"/>
        <v>0.41</v>
      </c>
      <c r="L20" s="9" t="str">
        <f t="shared" si="2"/>
        <v>FAIL</v>
      </c>
      <c r="M20" s="9" t="str">
        <f t="shared" si="3"/>
        <v>NOT ELIGIBLE</v>
      </c>
      <c r="N20" s="9" t="str" cm="1">
        <f t="array" ref="N20">_xlfn.IFS(I20&gt;=95%,"EXCELLENT",I20&gt;=85%,"VERY GOOD",I20&gt;=75%,"GOOD",I20&gt;=65%,"IMPROVEMENT",I20&gt;=40%,"POOR",I20&gt;=0%,"WORST")</f>
        <v>IMPROVEMENT</v>
      </c>
    </row>
    <row r="21" spans="1:14" ht="20.25" customHeight="1">
      <c r="A21" s="9" t="s">
        <v>52</v>
      </c>
      <c r="B21" s="9" t="s">
        <v>53</v>
      </c>
      <c r="C21" s="9" t="s">
        <v>18</v>
      </c>
      <c r="D21" s="9" t="s">
        <v>15</v>
      </c>
      <c r="E21" s="9">
        <v>72</v>
      </c>
      <c r="F21" s="9">
        <v>75</v>
      </c>
      <c r="G21" s="9">
        <v>70</v>
      </c>
      <c r="H21" s="9">
        <v>78</v>
      </c>
      <c r="I21" s="11">
        <v>0.88</v>
      </c>
      <c r="J21" s="9">
        <f t="shared" si="0"/>
        <v>295</v>
      </c>
      <c r="K21" s="11">
        <f t="shared" si="1"/>
        <v>0.73750000000000004</v>
      </c>
      <c r="L21" s="9" t="str">
        <f t="shared" si="2"/>
        <v>PASS</v>
      </c>
      <c r="M21" s="9" t="str">
        <f t="shared" si="3"/>
        <v>ELIGIBLE</v>
      </c>
      <c r="N21" s="9" t="str" cm="1">
        <f t="array" ref="N21">_xlfn.IFS(I21&gt;=95%,"EXCELLENT",I21&gt;=85%,"VERY GOOD",I21&gt;=75%,"GOOD",I21&gt;=65%,"IMPROVEMENT",I21&gt;=40%,"POOR",I21&gt;=0%,"WORST")</f>
        <v>VERY GOOD</v>
      </c>
    </row>
    <row r="22" spans="1:14" ht="20.25" customHeight="1">
      <c r="A22" s="9" t="s">
        <v>54</v>
      </c>
      <c r="B22" s="9" t="s">
        <v>55</v>
      </c>
      <c r="C22" s="9" t="s">
        <v>11</v>
      </c>
      <c r="D22" s="9" t="s">
        <v>12</v>
      </c>
      <c r="E22" s="9">
        <v>89</v>
      </c>
      <c r="F22" s="9">
        <v>94</v>
      </c>
      <c r="G22" s="9">
        <v>91</v>
      </c>
      <c r="H22" s="9">
        <v>93</v>
      </c>
      <c r="I22" s="11">
        <v>0.96</v>
      </c>
      <c r="J22" s="9">
        <f t="shared" si="0"/>
        <v>367</v>
      </c>
      <c r="K22" s="11">
        <f t="shared" si="1"/>
        <v>0.91749999999999998</v>
      </c>
      <c r="L22" s="9" t="str">
        <f t="shared" si="2"/>
        <v>PASS</v>
      </c>
      <c r="M22" s="9" t="str">
        <f t="shared" si="3"/>
        <v>ELIGIBLE</v>
      </c>
      <c r="N22" s="9" t="str" cm="1">
        <f t="array" ref="N22">_xlfn.IFS(I22&gt;=95%,"EXCELLENT",I22&gt;=85%,"VERY GOOD",I22&gt;=75%,"GOOD",I22&gt;=65%,"IMPROVEMENT",I22&gt;=40%,"POOR",I22&gt;=0%,"WORST")</f>
        <v>EXCELLENT</v>
      </c>
    </row>
    <row r="23" spans="1:14" ht="20.25" customHeight="1">
      <c r="A23" s="9" t="s">
        <v>56</v>
      </c>
      <c r="B23" s="9" t="s">
        <v>57</v>
      </c>
      <c r="C23" s="9" t="s">
        <v>21</v>
      </c>
      <c r="D23" s="9" t="s">
        <v>15</v>
      </c>
      <c r="E23" s="9">
        <v>64</v>
      </c>
      <c r="F23" s="9">
        <v>69</v>
      </c>
      <c r="G23" s="9">
        <v>62</v>
      </c>
      <c r="H23" s="9">
        <v>71</v>
      </c>
      <c r="I23" s="11">
        <v>0.82</v>
      </c>
      <c r="J23" s="9">
        <f t="shared" si="0"/>
        <v>266</v>
      </c>
      <c r="K23" s="11">
        <f t="shared" si="1"/>
        <v>0.66500000000000004</v>
      </c>
      <c r="L23" s="9" t="str">
        <f t="shared" si="2"/>
        <v>PASS</v>
      </c>
      <c r="M23" s="9" t="str">
        <f t="shared" si="3"/>
        <v>ELIGIBLE</v>
      </c>
      <c r="N23" s="9" t="str" cm="1">
        <f t="array" ref="N23">_xlfn.IFS(I23&gt;=95%,"EXCELLENT",I23&gt;=85%,"VERY GOOD",I23&gt;=75%,"GOOD",I23&gt;=65%,"IMPROVEMENT",I23&gt;=40%,"POOR",I23&gt;=0%,"WORST")</f>
        <v>GOOD</v>
      </c>
    </row>
    <row r="24" spans="1:14" ht="20.25" customHeight="1">
      <c r="A24" s="9" t="s">
        <v>58</v>
      </c>
      <c r="B24" s="9" t="s">
        <v>59</v>
      </c>
      <c r="C24" s="9" t="s">
        <v>18</v>
      </c>
      <c r="D24" s="9" t="s">
        <v>12</v>
      </c>
      <c r="E24" s="9">
        <v>58</v>
      </c>
      <c r="F24" s="9">
        <v>61</v>
      </c>
      <c r="G24" s="9">
        <v>55</v>
      </c>
      <c r="H24" s="9">
        <v>67</v>
      </c>
      <c r="I24" s="11">
        <v>0.79</v>
      </c>
      <c r="J24" s="9">
        <f t="shared" si="0"/>
        <v>241</v>
      </c>
      <c r="K24" s="11">
        <f t="shared" si="1"/>
        <v>0.60250000000000004</v>
      </c>
      <c r="L24" s="9" t="str">
        <f t="shared" si="2"/>
        <v>PASS</v>
      </c>
      <c r="M24" s="9" t="str">
        <f t="shared" si="3"/>
        <v>ELIGIBLE</v>
      </c>
      <c r="N24" s="9" t="str" cm="1">
        <f t="array" ref="N24">_xlfn.IFS(I24&gt;=95%,"EXCELLENT",I24&gt;=85%,"VERY GOOD",I24&gt;=75%,"GOOD",I24&gt;=65%,"IMPROVEMENT",I24&gt;=40%,"POOR",I24&gt;=0%,"WORST")</f>
        <v>GOOD</v>
      </c>
    </row>
    <row r="25" spans="1:14" ht="20.25" customHeight="1">
      <c r="A25" s="9" t="s">
        <v>60</v>
      </c>
      <c r="B25" s="9" t="s">
        <v>61</v>
      </c>
      <c r="C25" s="9" t="s">
        <v>11</v>
      </c>
      <c r="D25" s="9" t="s">
        <v>15</v>
      </c>
      <c r="E25" s="9">
        <v>77</v>
      </c>
      <c r="F25" s="9">
        <v>83</v>
      </c>
      <c r="G25" s="9">
        <v>80</v>
      </c>
      <c r="H25" s="9">
        <v>85</v>
      </c>
      <c r="I25" s="11">
        <v>0.94</v>
      </c>
      <c r="J25" s="9">
        <f t="shared" si="0"/>
        <v>325</v>
      </c>
      <c r="K25" s="11">
        <f t="shared" si="1"/>
        <v>0.8125</v>
      </c>
      <c r="L25" s="9" t="str">
        <f t="shared" si="2"/>
        <v>PASS</v>
      </c>
      <c r="M25" s="9" t="str">
        <f t="shared" si="3"/>
        <v>ELIGIBLE</v>
      </c>
      <c r="N25" s="9" t="str" cm="1">
        <f t="array" ref="N25">_xlfn.IFS(I25&gt;=95%,"EXCELLENT",I25&gt;=85%,"VERY GOOD",I25&gt;=75%,"GOOD",I25&gt;=65%,"IMPROVEMENT",I25&gt;=40%,"POOR",I25&gt;=0%,"WORST")</f>
        <v>VERY GOOD</v>
      </c>
    </row>
    <row r="26" spans="1:14" ht="20.25" customHeight="1">
      <c r="A26" s="9" t="s">
        <v>62</v>
      </c>
      <c r="B26" s="9" t="s">
        <v>63</v>
      </c>
      <c r="C26" s="9" t="s">
        <v>21</v>
      </c>
      <c r="D26" s="9" t="s">
        <v>12</v>
      </c>
      <c r="E26" s="9">
        <v>44</v>
      </c>
      <c r="F26" s="9">
        <v>51</v>
      </c>
      <c r="G26" s="9">
        <v>46</v>
      </c>
      <c r="H26" s="9">
        <v>55</v>
      </c>
      <c r="I26" s="11">
        <v>0.73</v>
      </c>
      <c r="J26" s="9">
        <f t="shared" si="0"/>
        <v>196</v>
      </c>
      <c r="K26" s="11">
        <f t="shared" si="1"/>
        <v>0.49</v>
      </c>
      <c r="L26" s="9" t="str">
        <f t="shared" si="2"/>
        <v>PASS</v>
      </c>
      <c r="M26" s="9" t="str">
        <f t="shared" si="3"/>
        <v>NOT ELIGIBLE</v>
      </c>
      <c r="N26" s="9" t="str" cm="1">
        <f t="array" ref="N26">_xlfn.IFS(I26&gt;=95%,"EXCELLENT",I26&gt;=85%,"VERY GOOD",I26&gt;=75%,"GOOD",I26&gt;=65%,"IMPROVEMENT",I26&gt;=40%,"POOR",I26&gt;=0%,"WORST")</f>
        <v>IMPROVEMENT</v>
      </c>
    </row>
    <row r="27" spans="1:14" ht="20.25" customHeight="1">
      <c r="A27" s="9" t="s">
        <v>64</v>
      </c>
      <c r="B27" s="9" t="s">
        <v>65</v>
      </c>
      <c r="C27" s="9" t="s">
        <v>18</v>
      </c>
      <c r="D27" s="9" t="s">
        <v>15</v>
      </c>
      <c r="E27" s="9">
        <v>86</v>
      </c>
      <c r="F27" s="9">
        <v>78</v>
      </c>
      <c r="G27" s="9">
        <v>89</v>
      </c>
      <c r="H27" s="9">
        <v>92</v>
      </c>
      <c r="I27" s="11">
        <v>0.95</v>
      </c>
      <c r="J27" s="9">
        <f t="shared" si="0"/>
        <v>345</v>
      </c>
      <c r="K27" s="11">
        <f t="shared" si="1"/>
        <v>0.86250000000000004</v>
      </c>
      <c r="L27" s="9" t="str">
        <f t="shared" si="2"/>
        <v>PASS</v>
      </c>
      <c r="M27" s="9" t="str">
        <f t="shared" si="3"/>
        <v>ELIGIBLE</v>
      </c>
      <c r="N27" s="9" t="str" cm="1">
        <f t="array" ref="N27">_xlfn.IFS(I27&gt;=95%,"EXCELLENT",I27&gt;=85%,"VERY GOOD",I27&gt;=75%,"GOOD",I27&gt;=65%,"IMPROVEMENT",I27&gt;=40%,"POOR",I27&gt;=0%,"WORST")</f>
        <v>EXCELLENT</v>
      </c>
    </row>
    <row r="28" spans="1:14" ht="20.25" customHeight="1">
      <c r="A28" s="9" t="s">
        <v>66</v>
      </c>
      <c r="B28" s="9" t="s">
        <v>67</v>
      </c>
      <c r="C28" s="9" t="s">
        <v>11</v>
      </c>
      <c r="D28" s="9" t="s">
        <v>12</v>
      </c>
      <c r="E28" s="9">
        <v>71</v>
      </c>
      <c r="F28" s="9">
        <v>66</v>
      </c>
      <c r="G28" s="9">
        <v>74</v>
      </c>
      <c r="H28" s="9">
        <v>80</v>
      </c>
      <c r="I28" s="11">
        <v>0.86</v>
      </c>
      <c r="J28" s="9">
        <f t="shared" si="0"/>
        <v>291</v>
      </c>
      <c r="K28" s="11">
        <f t="shared" si="1"/>
        <v>0.72750000000000004</v>
      </c>
      <c r="L28" s="9" t="str">
        <f t="shared" si="2"/>
        <v>PASS</v>
      </c>
      <c r="M28" s="9" t="str">
        <f t="shared" si="3"/>
        <v>ELIGIBLE</v>
      </c>
      <c r="N28" s="9" t="str" cm="1">
        <f t="array" ref="N28">_xlfn.IFS(I28&gt;=95%,"EXCELLENT",I28&gt;=85%,"VERY GOOD",I28&gt;=75%,"GOOD",I28&gt;=65%,"IMPROVEMENT",I28&gt;=40%,"POOR",I28&gt;=0%,"WORST")</f>
        <v>VERY GOOD</v>
      </c>
    </row>
    <row r="29" spans="1:14" ht="20.25" customHeight="1">
      <c r="A29" s="9" t="s">
        <v>68</v>
      </c>
      <c r="B29" s="9" t="s">
        <v>69</v>
      </c>
      <c r="C29" s="9" t="s">
        <v>21</v>
      </c>
      <c r="D29" s="9" t="s">
        <v>15</v>
      </c>
      <c r="E29" s="9">
        <v>92</v>
      </c>
      <c r="F29" s="9">
        <v>95</v>
      </c>
      <c r="G29" s="9">
        <v>90</v>
      </c>
      <c r="H29" s="9">
        <v>97</v>
      </c>
      <c r="I29" s="11">
        <v>0.99</v>
      </c>
      <c r="J29" s="9">
        <f t="shared" si="0"/>
        <v>374</v>
      </c>
      <c r="K29" s="11">
        <f t="shared" si="1"/>
        <v>0.93500000000000005</v>
      </c>
      <c r="L29" s="9" t="str">
        <f t="shared" si="2"/>
        <v>PASS</v>
      </c>
      <c r="M29" s="9" t="str">
        <f t="shared" si="3"/>
        <v>ELIGIBLE</v>
      </c>
      <c r="N29" s="9" t="str" cm="1">
        <f t="array" ref="N29">_xlfn.IFS(I29&gt;=95%,"EXCELLENT",I29&gt;=85%,"VERY GOOD",I29&gt;=75%,"GOOD",I29&gt;=65%,"IMPROVEMENT",I29&gt;=40%,"POOR",I29&gt;=0%,"WORST")</f>
        <v>EXCELLENT</v>
      </c>
    </row>
    <row r="30" spans="1:14" ht="20.25" customHeight="1">
      <c r="A30" s="9" t="s">
        <v>70</v>
      </c>
      <c r="B30" s="9" t="s">
        <v>71</v>
      </c>
      <c r="C30" s="9" t="s">
        <v>18</v>
      </c>
      <c r="D30" s="9" t="s">
        <v>12</v>
      </c>
      <c r="E30" s="9">
        <v>49</v>
      </c>
      <c r="F30" s="9">
        <v>58</v>
      </c>
      <c r="G30" s="9">
        <v>52</v>
      </c>
      <c r="H30" s="9">
        <v>60</v>
      </c>
      <c r="I30" s="11">
        <v>0.75</v>
      </c>
      <c r="J30" s="9">
        <f t="shared" si="0"/>
        <v>219</v>
      </c>
      <c r="K30" s="11">
        <f t="shared" si="1"/>
        <v>0.54749999999999999</v>
      </c>
      <c r="L30" s="9" t="str">
        <f t="shared" si="2"/>
        <v>PASS</v>
      </c>
      <c r="M30" s="9" t="str">
        <f t="shared" si="3"/>
        <v>ELIGIBLE</v>
      </c>
      <c r="N30" s="9" t="str" cm="1">
        <f t="array" ref="N30">_xlfn.IFS(I30&gt;=95%,"EXCELLENT",I30&gt;=85%,"VERY GOOD",I30&gt;=75%,"GOOD",I30&gt;=65%,"IMPROVEMENT",I30&gt;=40%,"POOR",I30&gt;=0%,"WORST")</f>
        <v>GOOD</v>
      </c>
    </row>
    <row r="31" spans="1:14" ht="20.25" customHeight="1">
      <c r="A31" s="9" t="s">
        <v>72</v>
      </c>
      <c r="B31" s="9" t="s">
        <v>73</v>
      </c>
      <c r="C31" s="9" t="s">
        <v>11</v>
      </c>
      <c r="D31" s="9" t="s">
        <v>15</v>
      </c>
      <c r="E31" s="9">
        <v>68</v>
      </c>
      <c r="F31" s="9">
        <v>73</v>
      </c>
      <c r="G31" s="9">
        <v>71</v>
      </c>
      <c r="H31" s="9">
        <v>76</v>
      </c>
      <c r="I31" s="11">
        <v>0.85</v>
      </c>
      <c r="J31" s="9">
        <f t="shared" si="0"/>
        <v>288</v>
      </c>
      <c r="K31" s="11">
        <f t="shared" si="1"/>
        <v>0.72</v>
      </c>
      <c r="L31" s="9" t="str">
        <f t="shared" si="2"/>
        <v>PASS</v>
      </c>
      <c r="M31" s="9" t="str">
        <f t="shared" si="3"/>
        <v>ELIGIBLE</v>
      </c>
      <c r="N31" s="9" t="str" cm="1">
        <f t="array" ref="N31">_xlfn.IFS(I31&gt;=95%,"EXCELLENT",I31&gt;=85%,"VERY GOOD",I31&gt;=75%,"GOOD",I31&gt;=65%,"IMPROVEMENT",I31&gt;=40%,"POOR",I31&gt;=0%,"WORST")</f>
        <v>VERY GOOD</v>
      </c>
    </row>
    <row r="32" spans="1:14" ht="20.25" customHeight="1">
      <c r="A32" s="9" t="s">
        <v>74</v>
      </c>
      <c r="B32" s="9" t="s">
        <v>75</v>
      </c>
      <c r="C32" s="9" t="s">
        <v>21</v>
      </c>
      <c r="D32" s="9" t="s">
        <v>12</v>
      </c>
      <c r="E32" s="9">
        <v>79</v>
      </c>
      <c r="F32" s="9">
        <v>82</v>
      </c>
      <c r="G32" s="9">
        <v>77</v>
      </c>
      <c r="H32" s="9">
        <v>84</v>
      </c>
      <c r="I32" s="11">
        <v>0.91</v>
      </c>
      <c r="J32" s="9">
        <f t="shared" si="0"/>
        <v>322</v>
      </c>
      <c r="K32" s="11">
        <f t="shared" si="1"/>
        <v>0.80500000000000005</v>
      </c>
      <c r="L32" s="9" t="str">
        <f t="shared" si="2"/>
        <v>PASS</v>
      </c>
      <c r="M32" s="9" t="str">
        <f t="shared" si="3"/>
        <v>ELIGIBLE</v>
      </c>
      <c r="N32" s="9" t="str" cm="1">
        <f t="array" ref="N32">_xlfn.IFS(I32&gt;=95%,"EXCELLENT",I32&gt;=85%,"VERY GOOD",I32&gt;=75%,"GOOD",I32&gt;=65%,"IMPROVEMENT",I32&gt;=40%,"POOR",I32&gt;=0%,"WORST")</f>
        <v>VERY GOOD</v>
      </c>
    </row>
    <row r="33" spans="1:14" ht="20.25" customHeight="1">
      <c r="A33" s="9" t="s">
        <v>76</v>
      </c>
      <c r="B33" s="9" t="s">
        <v>77</v>
      </c>
      <c r="C33" s="9" t="s">
        <v>18</v>
      </c>
      <c r="D33" s="9" t="s">
        <v>15</v>
      </c>
      <c r="E33" s="9">
        <v>85</v>
      </c>
      <c r="F33" s="9">
        <v>87</v>
      </c>
      <c r="G33" s="9">
        <v>83</v>
      </c>
      <c r="H33" s="9">
        <v>89</v>
      </c>
      <c r="I33" s="11">
        <v>0.96</v>
      </c>
      <c r="J33" s="9">
        <f t="shared" si="0"/>
        <v>344</v>
      </c>
      <c r="K33" s="11">
        <f t="shared" si="1"/>
        <v>0.86</v>
      </c>
      <c r="L33" s="9" t="str">
        <f t="shared" si="2"/>
        <v>PASS</v>
      </c>
      <c r="M33" s="9" t="str">
        <f t="shared" si="3"/>
        <v>ELIGIBLE</v>
      </c>
      <c r="N33" s="9" t="str" cm="1">
        <f t="array" ref="N33">_xlfn.IFS(I33&gt;=95%,"EXCELLENT",I33&gt;=85%,"VERY GOOD",I33&gt;=75%,"GOOD",I33&gt;=65%,"IMPROVEMENT",I33&gt;=40%,"POOR",I33&gt;=0%,"WORST")</f>
        <v>EXCELLENT</v>
      </c>
    </row>
    <row r="34" spans="1:14" ht="20.25" customHeight="1">
      <c r="A34" s="9" t="s">
        <v>78</v>
      </c>
      <c r="B34" s="9" t="s">
        <v>79</v>
      </c>
      <c r="C34" s="9" t="s">
        <v>11</v>
      </c>
      <c r="D34" s="9" t="s">
        <v>12</v>
      </c>
      <c r="E34" s="9">
        <v>52</v>
      </c>
      <c r="F34" s="9">
        <v>47</v>
      </c>
      <c r="G34" s="9">
        <v>54</v>
      </c>
      <c r="H34" s="9">
        <v>62</v>
      </c>
      <c r="I34" s="11">
        <v>0.77</v>
      </c>
      <c r="J34" s="9">
        <f t="shared" si="0"/>
        <v>215</v>
      </c>
      <c r="K34" s="11">
        <f t="shared" si="1"/>
        <v>0.53749999999999998</v>
      </c>
      <c r="L34" s="9" t="str">
        <f t="shared" si="2"/>
        <v>PASS</v>
      </c>
      <c r="M34" s="9" t="str">
        <f t="shared" si="3"/>
        <v>ELIGIBLE</v>
      </c>
      <c r="N34" s="9" t="str" cm="1">
        <f t="array" ref="N34">_xlfn.IFS(I34&gt;=95%,"EXCELLENT",I34&gt;=85%,"VERY GOOD",I34&gt;=75%,"GOOD",I34&gt;=65%,"IMPROVEMENT",I34&gt;=40%,"POOR",I34&gt;=0%,"WORST")</f>
        <v>GOOD</v>
      </c>
    </row>
    <row r="35" spans="1:14" ht="20.25" customHeight="1">
      <c r="A35" s="9" t="s">
        <v>80</v>
      </c>
      <c r="B35" s="9" t="s">
        <v>81</v>
      </c>
      <c r="C35" s="9" t="s">
        <v>21</v>
      </c>
      <c r="D35" s="9" t="s">
        <v>15</v>
      </c>
      <c r="E35" s="9">
        <v>74</v>
      </c>
      <c r="F35" s="9">
        <v>79</v>
      </c>
      <c r="G35" s="9">
        <v>76</v>
      </c>
      <c r="H35" s="9">
        <v>81</v>
      </c>
      <c r="I35" s="11">
        <v>0.89</v>
      </c>
      <c r="J35" s="9">
        <f t="shared" si="0"/>
        <v>310</v>
      </c>
      <c r="K35" s="11">
        <f t="shared" si="1"/>
        <v>0.77500000000000002</v>
      </c>
      <c r="L35" s="9" t="str">
        <f t="shared" si="2"/>
        <v>PASS</v>
      </c>
      <c r="M35" s="9" t="str">
        <f t="shared" si="3"/>
        <v>ELIGIBLE</v>
      </c>
      <c r="N35" s="9" t="str" cm="1">
        <f t="array" ref="N35">_xlfn.IFS(I35&gt;=95%,"EXCELLENT",I35&gt;=85%,"VERY GOOD",I35&gt;=75%,"GOOD",I35&gt;=65%,"IMPROVEMENT",I35&gt;=40%,"POOR",I35&gt;=0%,"WORST")</f>
        <v>VERY GOOD</v>
      </c>
    </row>
    <row r="36" spans="1:14" ht="20.25" customHeight="1">
      <c r="A36" s="9" t="s">
        <v>82</v>
      </c>
      <c r="B36" s="9" t="s">
        <v>83</v>
      </c>
      <c r="C36" s="9" t="s">
        <v>18</v>
      </c>
      <c r="D36" s="9" t="s">
        <v>12</v>
      </c>
      <c r="E36" s="9">
        <v>63</v>
      </c>
      <c r="F36" s="9">
        <v>59</v>
      </c>
      <c r="G36" s="9">
        <v>66</v>
      </c>
      <c r="H36" s="9">
        <v>70</v>
      </c>
      <c r="I36" s="11">
        <v>0.8</v>
      </c>
      <c r="J36" s="9">
        <f t="shared" si="0"/>
        <v>258</v>
      </c>
      <c r="K36" s="11">
        <f t="shared" si="1"/>
        <v>0.64500000000000002</v>
      </c>
      <c r="L36" s="9" t="str">
        <f t="shared" si="2"/>
        <v>PASS</v>
      </c>
      <c r="M36" s="9" t="str">
        <f t="shared" si="3"/>
        <v>ELIGIBLE</v>
      </c>
      <c r="N36" s="9" t="str" cm="1">
        <f t="array" ref="N36">_xlfn.IFS(I36&gt;=95%,"EXCELLENT",I36&gt;=85%,"VERY GOOD",I36&gt;=75%,"GOOD",I36&gt;=65%,"IMPROVEMENT",I36&gt;=40%,"POOR",I36&gt;=0%,"WORST")</f>
        <v>GOOD</v>
      </c>
    </row>
    <row r="37" spans="1:14" ht="20.25" customHeight="1">
      <c r="A37" s="9" t="s">
        <v>84</v>
      </c>
      <c r="B37" s="9" t="s">
        <v>85</v>
      </c>
      <c r="C37" s="9" t="s">
        <v>11</v>
      </c>
      <c r="D37" s="9" t="s">
        <v>15</v>
      </c>
      <c r="E37" s="9">
        <v>97</v>
      </c>
      <c r="F37" s="9">
        <v>93</v>
      </c>
      <c r="G37" s="9">
        <v>95</v>
      </c>
      <c r="H37" s="9">
        <v>98</v>
      </c>
      <c r="I37" s="11">
        <v>1</v>
      </c>
      <c r="J37" s="9">
        <f t="shared" si="0"/>
        <v>383</v>
      </c>
      <c r="K37" s="11">
        <f t="shared" si="1"/>
        <v>0.95750000000000002</v>
      </c>
      <c r="L37" s="9" t="str">
        <f t="shared" si="2"/>
        <v>PASS</v>
      </c>
      <c r="M37" s="9" t="str">
        <f t="shared" si="3"/>
        <v>ELIGIBLE</v>
      </c>
      <c r="N37" s="9" t="str" cm="1">
        <f t="array" ref="N37">_xlfn.IFS(I37&gt;=95%,"EXCELLENT",I37&gt;=85%,"VERY GOOD",I37&gt;=75%,"GOOD",I37&gt;=65%,"IMPROVEMENT",I37&gt;=40%,"POOR",I37&gt;=0%,"WORST")</f>
        <v>EXCELLENT</v>
      </c>
    </row>
    <row r="38" spans="1:14" ht="20.25" customHeight="1">
      <c r="A38" s="9" t="s">
        <v>86</v>
      </c>
      <c r="B38" s="9" t="s">
        <v>87</v>
      </c>
      <c r="C38" s="9" t="s">
        <v>21</v>
      </c>
      <c r="D38" s="9" t="s">
        <v>12</v>
      </c>
      <c r="E38" s="9">
        <v>41</v>
      </c>
      <c r="F38" s="9">
        <v>48</v>
      </c>
      <c r="G38" s="9">
        <v>45</v>
      </c>
      <c r="H38" s="9">
        <v>53</v>
      </c>
      <c r="I38" s="11">
        <v>0.71</v>
      </c>
      <c r="J38" s="9">
        <f t="shared" si="0"/>
        <v>187</v>
      </c>
      <c r="K38" s="11">
        <f t="shared" si="1"/>
        <v>0.46750000000000003</v>
      </c>
      <c r="L38" s="9" t="str">
        <f t="shared" si="2"/>
        <v>PASS</v>
      </c>
      <c r="M38" s="9" t="str">
        <f t="shared" si="3"/>
        <v>NOT ELIGIBLE</v>
      </c>
      <c r="N38" s="9" t="str" cm="1">
        <f t="array" ref="N38">_xlfn.IFS(I38&gt;=95%,"EXCELLENT",I38&gt;=85%,"VERY GOOD",I38&gt;=75%,"GOOD",I38&gt;=65%,"IMPROVEMENT",I38&gt;=40%,"POOR",I38&gt;=0%,"WORST")</f>
        <v>IMPROVEMENT</v>
      </c>
    </row>
    <row r="39" spans="1:14" ht="20.25" customHeight="1">
      <c r="A39" s="9" t="s">
        <v>88</v>
      </c>
      <c r="B39" s="9" t="s">
        <v>89</v>
      </c>
      <c r="C39" s="9" t="s">
        <v>18</v>
      </c>
      <c r="D39" s="9" t="s">
        <v>15</v>
      </c>
      <c r="E39" s="9">
        <v>80</v>
      </c>
      <c r="F39" s="9">
        <v>84</v>
      </c>
      <c r="G39" s="9">
        <v>78</v>
      </c>
      <c r="H39" s="9">
        <v>87</v>
      </c>
      <c r="I39" s="11">
        <v>0.93</v>
      </c>
      <c r="J39" s="9">
        <f t="shared" si="0"/>
        <v>329</v>
      </c>
      <c r="K39" s="11">
        <f t="shared" si="1"/>
        <v>0.82250000000000001</v>
      </c>
      <c r="L39" s="9" t="str">
        <f t="shared" si="2"/>
        <v>PASS</v>
      </c>
      <c r="M39" s="9" t="str">
        <f t="shared" si="3"/>
        <v>ELIGIBLE</v>
      </c>
      <c r="N39" s="9" t="str" cm="1">
        <f t="array" ref="N39">_xlfn.IFS(I39&gt;=95%,"EXCELLENT",I39&gt;=85%,"VERY GOOD",I39&gt;=75%,"GOOD",I39&gt;=65%,"IMPROVEMENT",I39&gt;=40%,"POOR",I39&gt;=0%,"WORST")</f>
        <v>VERY GOOD</v>
      </c>
    </row>
    <row r="40" spans="1:14" ht="20.25" customHeight="1">
      <c r="A40" s="9" t="s">
        <v>90</v>
      </c>
      <c r="B40" s="9" t="s">
        <v>91</v>
      </c>
      <c r="C40" s="9" t="s">
        <v>11</v>
      </c>
      <c r="D40" s="9" t="s">
        <v>12</v>
      </c>
      <c r="E40" s="9">
        <v>67</v>
      </c>
      <c r="F40" s="9">
        <v>72</v>
      </c>
      <c r="G40" s="9">
        <v>69</v>
      </c>
      <c r="H40" s="9">
        <v>74</v>
      </c>
      <c r="I40" s="11">
        <v>0.83</v>
      </c>
      <c r="J40" s="9">
        <f t="shared" si="0"/>
        <v>282</v>
      </c>
      <c r="K40" s="11">
        <f t="shared" si="1"/>
        <v>0.70499999999999996</v>
      </c>
      <c r="L40" s="9" t="str">
        <f t="shared" si="2"/>
        <v>PASS</v>
      </c>
      <c r="M40" s="9" t="str">
        <f t="shared" si="3"/>
        <v>ELIGIBLE</v>
      </c>
      <c r="N40" s="9" t="str" cm="1">
        <f t="array" ref="N40">_xlfn.IFS(I40&gt;=95%,"EXCELLENT",I40&gt;=85%,"VERY GOOD",I40&gt;=75%,"GOOD",I40&gt;=65%,"IMPROVEMENT",I40&gt;=40%,"POOR",I40&gt;=0%,"WORST")</f>
        <v>GOOD</v>
      </c>
    </row>
    <row r="41" spans="1:14" ht="20.25" customHeight="1">
      <c r="A41" s="9" t="s">
        <v>92</v>
      </c>
      <c r="B41" s="9" t="s">
        <v>93</v>
      </c>
      <c r="C41" s="9" t="s">
        <v>21</v>
      </c>
      <c r="D41" s="9" t="s">
        <v>15</v>
      </c>
      <c r="E41" s="9">
        <v>90</v>
      </c>
      <c r="F41" s="9">
        <v>86</v>
      </c>
      <c r="G41" s="9">
        <v>92</v>
      </c>
      <c r="H41" s="9">
        <v>95</v>
      </c>
      <c r="I41" s="11">
        <v>0.97</v>
      </c>
      <c r="J41" s="9">
        <f t="shared" si="0"/>
        <v>363</v>
      </c>
      <c r="K41" s="11">
        <f t="shared" si="1"/>
        <v>0.90749999999999997</v>
      </c>
      <c r="L41" s="9" t="str">
        <f t="shared" si="2"/>
        <v>PASS</v>
      </c>
      <c r="M41" s="9" t="str">
        <f t="shared" si="3"/>
        <v>ELIGIBLE</v>
      </c>
      <c r="N41" s="9" t="str" cm="1">
        <f t="array" ref="N41">_xlfn.IFS(I41&gt;=95%,"EXCELLENT",I41&gt;=85%,"VERY GOOD",I41&gt;=75%,"GOOD",I41&gt;=65%,"IMPROVEMENT",I41&gt;=40%,"POOR",I41&gt;=0%,"WORST")</f>
        <v>EXCELLENT</v>
      </c>
    </row>
    <row r="42" spans="1:14" ht="20.25" customHeight="1">
      <c r="A42" s="9" t="s">
        <v>94</v>
      </c>
      <c r="B42" s="9" t="s">
        <v>95</v>
      </c>
      <c r="C42" s="9" t="s">
        <v>18</v>
      </c>
      <c r="D42" s="9" t="s">
        <v>12</v>
      </c>
      <c r="E42" s="9">
        <v>57</v>
      </c>
      <c r="F42" s="9">
        <v>64</v>
      </c>
      <c r="G42" s="9">
        <v>61</v>
      </c>
      <c r="H42" s="9">
        <v>68</v>
      </c>
      <c r="I42" s="11">
        <v>0.78</v>
      </c>
      <c r="J42" s="9">
        <f t="shared" si="0"/>
        <v>250</v>
      </c>
      <c r="K42" s="11">
        <f t="shared" si="1"/>
        <v>0.625</v>
      </c>
      <c r="L42" s="9" t="str">
        <f t="shared" si="2"/>
        <v>PASS</v>
      </c>
      <c r="M42" s="9" t="str">
        <f t="shared" si="3"/>
        <v>ELIGIBLE</v>
      </c>
      <c r="N42" s="9" t="str" cm="1">
        <f t="array" ref="N42">_xlfn.IFS(I42&gt;=95%,"EXCELLENT",I42&gt;=85%,"VERY GOOD",I42&gt;=75%,"GOOD",I42&gt;=65%,"IMPROVEMENT",I42&gt;=40%,"POOR",I42&gt;=0%,"WORST")</f>
        <v>GOOD</v>
      </c>
    </row>
    <row r="43" spans="1:14" ht="20.25" customHeight="1">
      <c r="A43" s="9" t="s">
        <v>96</v>
      </c>
      <c r="B43" s="9" t="s">
        <v>97</v>
      </c>
      <c r="C43" s="9" t="s">
        <v>11</v>
      </c>
      <c r="D43" s="9" t="s">
        <v>15</v>
      </c>
      <c r="E43" s="9">
        <v>83</v>
      </c>
      <c r="F43" s="9">
        <v>80</v>
      </c>
      <c r="G43" s="9">
        <v>86</v>
      </c>
      <c r="H43" s="9">
        <v>88</v>
      </c>
      <c r="I43" s="11">
        <v>0.92</v>
      </c>
      <c r="J43" s="9">
        <f t="shared" si="0"/>
        <v>337</v>
      </c>
      <c r="K43" s="11">
        <f t="shared" si="1"/>
        <v>0.84250000000000003</v>
      </c>
      <c r="L43" s="9" t="str">
        <f t="shared" si="2"/>
        <v>PASS</v>
      </c>
      <c r="M43" s="9" t="str">
        <f t="shared" si="3"/>
        <v>ELIGIBLE</v>
      </c>
      <c r="N43" s="9" t="str" cm="1">
        <f t="array" ref="N43">_xlfn.IFS(I43&gt;=95%,"EXCELLENT",I43&gt;=85%,"VERY GOOD",I43&gt;=75%,"GOOD",I43&gt;=65%,"IMPROVEMENT",I43&gt;=40%,"POOR",I43&gt;=0%,"WORST")</f>
        <v>VERY GOOD</v>
      </c>
    </row>
    <row r="44" spans="1:14" ht="20.25" customHeight="1">
      <c r="A44" s="9" t="s">
        <v>98</v>
      </c>
      <c r="B44" s="9" t="s">
        <v>99</v>
      </c>
      <c r="C44" s="9" t="s">
        <v>21</v>
      </c>
      <c r="D44" s="9" t="s">
        <v>12</v>
      </c>
      <c r="E44" s="9">
        <v>46</v>
      </c>
      <c r="F44" s="9">
        <v>53</v>
      </c>
      <c r="G44" s="9">
        <v>49</v>
      </c>
      <c r="H44" s="9">
        <v>57</v>
      </c>
      <c r="I44" s="11">
        <v>0.7</v>
      </c>
      <c r="J44" s="9">
        <f t="shared" si="0"/>
        <v>205</v>
      </c>
      <c r="K44" s="11">
        <f t="shared" si="1"/>
        <v>0.51249999999999996</v>
      </c>
      <c r="L44" s="9" t="str">
        <f t="shared" si="2"/>
        <v>PASS</v>
      </c>
      <c r="M44" s="9" t="str">
        <f t="shared" si="3"/>
        <v>NOT ELIGIBLE</v>
      </c>
      <c r="N44" s="9" t="str" cm="1">
        <f t="array" ref="N44">_xlfn.IFS(I44&gt;=95%,"EXCELLENT",I44&gt;=85%,"VERY GOOD",I44&gt;=75%,"GOOD",I44&gt;=65%,"IMPROVEMENT",I44&gt;=40%,"POOR",I44&gt;=0%,"WORST")</f>
        <v>IMPROVEMENT</v>
      </c>
    </row>
    <row r="45" spans="1:14" ht="20.25" customHeight="1">
      <c r="A45" s="9" t="s">
        <v>100</v>
      </c>
      <c r="B45" s="9" t="s">
        <v>101</v>
      </c>
      <c r="C45" s="9" t="s">
        <v>18</v>
      </c>
      <c r="D45" s="9" t="s">
        <v>15</v>
      </c>
      <c r="E45" s="9">
        <v>75</v>
      </c>
      <c r="F45" s="9">
        <v>71</v>
      </c>
      <c r="G45" s="9">
        <v>79</v>
      </c>
      <c r="H45" s="9">
        <v>83</v>
      </c>
      <c r="I45" s="11">
        <v>0.88</v>
      </c>
      <c r="J45" s="9">
        <f t="shared" si="0"/>
        <v>308</v>
      </c>
      <c r="K45" s="11">
        <f t="shared" si="1"/>
        <v>0.77</v>
      </c>
      <c r="L45" s="9" t="str">
        <f t="shared" si="2"/>
        <v>PASS</v>
      </c>
      <c r="M45" s="9" t="str">
        <f t="shared" si="3"/>
        <v>ELIGIBLE</v>
      </c>
      <c r="N45" s="9" t="str" cm="1">
        <f t="array" ref="N45">_xlfn.IFS(I45&gt;=95%,"EXCELLENT",I45&gt;=85%,"VERY GOOD",I45&gt;=75%,"GOOD",I45&gt;=65%,"IMPROVEMENT",I45&gt;=40%,"POOR",I45&gt;=0%,"WORST")</f>
        <v>VERY GOOD</v>
      </c>
    </row>
    <row r="46" spans="1:14" ht="20.25" customHeight="1">
      <c r="A46" s="9" t="s">
        <v>102</v>
      </c>
      <c r="B46" s="9" t="s">
        <v>103</v>
      </c>
      <c r="C46" s="9" t="s">
        <v>11</v>
      </c>
      <c r="D46" s="9" t="s">
        <v>12</v>
      </c>
      <c r="E46" s="9">
        <v>87</v>
      </c>
      <c r="F46" s="9">
        <v>90</v>
      </c>
      <c r="G46" s="9">
        <v>84</v>
      </c>
      <c r="H46" s="9">
        <v>91</v>
      </c>
      <c r="I46" s="11">
        <v>0.95</v>
      </c>
      <c r="J46" s="9">
        <f t="shared" si="0"/>
        <v>352</v>
      </c>
      <c r="K46" s="11">
        <f t="shared" si="1"/>
        <v>0.88</v>
      </c>
      <c r="L46" s="9" t="str">
        <f t="shared" si="2"/>
        <v>PASS</v>
      </c>
      <c r="M46" s="9" t="str">
        <f t="shared" si="3"/>
        <v>ELIGIBLE</v>
      </c>
      <c r="N46" s="9" t="str" cm="1">
        <f t="array" ref="N46">_xlfn.IFS(I46&gt;=95%,"EXCELLENT",I46&gt;=85%,"VERY GOOD",I46&gt;=75%,"GOOD",I46&gt;=65%,"IMPROVEMENT",I46&gt;=40%,"POOR",I46&gt;=0%,"WORST")</f>
        <v>EXCELLENT</v>
      </c>
    </row>
    <row r="47" spans="1:14" ht="20.25" customHeight="1">
      <c r="A47" s="9" t="s">
        <v>104</v>
      </c>
      <c r="B47" s="9" t="s">
        <v>105</v>
      </c>
      <c r="C47" s="9" t="s">
        <v>21</v>
      </c>
      <c r="D47" s="9" t="s">
        <v>15</v>
      </c>
      <c r="E47" s="9">
        <v>69</v>
      </c>
      <c r="F47" s="9">
        <v>76</v>
      </c>
      <c r="G47" s="9">
        <v>72</v>
      </c>
      <c r="H47" s="9">
        <v>78</v>
      </c>
      <c r="I47" s="11">
        <v>0.86</v>
      </c>
      <c r="J47" s="9">
        <f t="shared" si="0"/>
        <v>295</v>
      </c>
      <c r="K47" s="11">
        <f t="shared" si="1"/>
        <v>0.73750000000000004</v>
      </c>
      <c r="L47" s="9" t="str">
        <f t="shared" si="2"/>
        <v>PASS</v>
      </c>
      <c r="M47" s="9" t="str">
        <f t="shared" si="3"/>
        <v>ELIGIBLE</v>
      </c>
      <c r="N47" s="9" t="str" cm="1">
        <f t="array" ref="N47">_xlfn.IFS(I47&gt;=95%,"EXCELLENT",I47&gt;=85%,"VERY GOOD",I47&gt;=75%,"GOOD",I47&gt;=65%,"IMPROVEMENT",I47&gt;=40%,"POOR",I47&gt;=0%,"WORST")</f>
        <v>VERY GOOD</v>
      </c>
    </row>
    <row r="48" spans="1:14" ht="20.25" customHeight="1">
      <c r="A48" s="9" t="s">
        <v>106</v>
      </c>
      <c r="B48" s="9" t="s">
        <v>107</v>
      </c>
      <c r="C48" s="9" t="s">
        <v>18</v>
      </c>
      <c r="D48" s="9" t="s">
        <v>12</v>
      </c>
      <c r="E48" s="9">
        <v>32</v>
      </c>
      <c r="F48" s="9">
        <v>39</v>
      </c>
      <c r="G48" s="9">
        <v>44</v>
      </c>
      <c r="H48" s="9">
        <v>47</v>
      </c>
      <c r="I48" s="11">
        <v>0.64</v>
      </c>
      <c r="J48" s="9">
        <f t="shared" si="0"/>
        <v>162</v>
      </c>
      <c r="K48" s="11">
        <f t="shared" si="1"/>
        <v>0.40500000000000003</v>
      </c>
      <c r="L48" s="9" t="str">
        <f t="shared" si="2"/>
        <v>FAIL</v>
      </c>
      <c r="M48" s="9" t="str">
        <f t="shared" si="3"/>
        <v>NOT ELIGIBLE</v>
      </c>
      <c r="N48" s="9" t="str" cm="1">
        <f t="array" ref="N48">_xlfn.IFS(I48&gt;=95%,"EXCELLENT",I48&gt;=85%,"VERY GOOD",I48&gt;=75%,"GOOD",I48&gt;=65%,"IMPROVEMENT",I48&gt;=40%,"POOR",I48&gt;=0%,"WORST")</f>
        <v>POOR</v>
      </c>
    </row>
    <row r="49" spans="1:14" ht="20.25" customHeight="1">
      <c r="A49" s="9" t="s">
        <v>108</v>
      </c>
      <c r="B49" s="9" t="s">
        <v>109</v>
      </c>
      <c r="C49" s="9" t="s">
        <v>11</v>
      </c>
      <c r="D49" s="9" t="s">
        <v>15</v>
      </c>
      <c r="E49" s="9">
        <v>94</v>
      </c>
      <c r="F49" s="9">
        <v>96</v>
      </c>
      <c r="G49" s="9">
        <v>91</v>
      </c>
      <c r="H49" s="9">
        <v>93</v>
      </c>
      <c r="I49" s="11">
        <v>0.99</v>
      </c>
      <c r="J49" s="9">
        <f t="shared" si="0"/>
        <v>374</v>
      </c>
      <c r="K49" s="11">
        <f t="shared" si="1"/>
        <v>0.93500000000000005</v>
      </c>
      <c r="L49" s="9" t="str">
        <f t="shared" si="2"/>
        <v>PASS</v>
      </c>
      <c r="M49" s="9" t="str">
        <f t="shared" si="3"/>
        <v>ELIGIBLE</v>
      </c>
      <c r="N49" s="9" t="str" cm="1">
        <f t="array" ref="N49">_xlfn.IFS(I49&gt;=95%,"EXCELLENT",I49&gt;=85%,"VERY GOOD",I49&gt;=75%,"GOOD",I49&gt;=65%,"IMPROVEMENT",I49&gt;=40%,"POOR",I49&gt;=0%,"WORST")</f>
        <v>EXCELLENT</v>
      </c>
    </row>
    <row r="50" spans="1:14" ht="20.25" customHeight="1">
      <c r="A50" s="9" t="s">
        <v>110</v>
      </c>
      <c r="B50" s="9" t="s">
        <v>111</v>
      </c>
      <c r="C50" s="9" t="s">
        <v>21</v>
      </c>
      <c r="D50" s="9" t="s">
        <v>12</v>
      </c>
      <c r="E50" s="9">
        <v>62</v>
      </c>
      <c r="F50" s="9">
        <v>68</v>
      </c>
      <c r="G50" s="9">
        <v>65</v>
      </c>
      <c r="H50" s="9">
        <v>73</v>
      </c>
      <c r="I50" s="11">
        <v>0.81</v>
      </c>
      <c r="J50" s="9">
        <f t="shared" si="0"/>
        <v>268</v>
      </c>
      <c r="K50" s="11">
        <f t="shared" si="1"/>
        <v>0.67</v>
      </c>
      <c r="L50" s="9" t="str">
        <f t="shared" si="2"/>
        <v>PASS</v>
      </c>
      <c r="M50" s="9" t="str">
        <f t="shared" si="3"/>
        <v>ELIGIBLE</v>
      </c>
      <c r="N50" s="9" t="str" cm="1">
        <f t="array" ref="N50">_xlfn.IFS(I50&gt;=95%,"EXCELLENT",I50&gt;=85%,"VERY GOOD",I50&gt;=75%,"GOOD",I50&gt;=65%,"IMPROVEMENT",I50&gt;=40%,"POOR",I50&gt;=0%,"WORST")</f>
        <v>GOOD</v>
      </c>
    </row>
    <row r="51" spans="1:14" ht="20.25" customHeight="1">
      <c r="A51" s="9" t="s">
        <v>112</v>
      </c>
      <c r="B51" s="9" t="s">
        <v>113</v>
      </c>
      <c r="C51" s="9" t="s">
        <v>18</v>
      </c>
      <c r="D51" s="9" t="s">
        <v>15</v>
      </c>
      <c r="E51" s="9">
        <v>78</v>
      </c>
      <c r="F51" s="9">
        <v>74</v>
      </c>
      <c r="G51" s="9">
        <v>82</v>
      </c>
      <c r="H51" s="9">
        <v>85</v>
      </c>
      <c r="I51" s="11">
        <v>0.9</v>
      </c>
      <c r="J51" s="9">
        <f t="shared" si="0"/>
        <v>319</v>
      </c>
      <c r="K51" s="11">
        <f t="shared" si="1"/>
        <v>0.79749999999999999</v>
      </c>
      <c r="L51" s="9" t="str">
        <f t="shared" si="2"/>
        <v>PASS</v>
      </c>
      <c r="M51" s="9" t="str">
        <f t="shared" si="3"/>
        <v>ELIGIBLE</v>
      </c>
      <c r="N51" s="9" t="str" cm="1">
        <f t="array" ref="N51">_xlfn.IFS(I51&gt;=95%,"EXCELLENT",I51&gt;=85%,"VERY GOOD",I51&gt;=75%,"GOOD",I51&gt;=65%,"IMPROVEMENT",I51&gt;=40%,"POOR",I51&gt;=0%,"WORST")</f>
        <v>VERY GOOD</v>
      </c>
    </row>
    <row r="52" spans="1:14" ht="20.25" customHeight="1">
      <c r="A52" s="9" t="s">
        <v>114</v>
      </c>
      <c r="B52" s="9" t="s">
        <v>115</v>
      </c>
      <c r="C52" s="9" t="s">
        <v>11</v>
      </c>
      <c r="D52" s="9" t="s">
        <v>12</v>
      </c>
      <c r="E52" s="9">
        <v>84</v>
      </c>
      <c r="F52" s="9">
        <v>89</v>
      </c>
      <c r="G52" s="9">
        <v>81</v>
      </c>
      <c r="H52" s="9">
        <v>86</v>
      </c>
      <c r="I52" s="11">
        <v>0.94</v>
      </c>
      <c r="J52" s="9">
        <f t="shared" si="0"/>
        <v>340</v>
      </c>
      <c r="K52" s="11">
        <f t="shared" si="1"/>
        <v>0.85</v>
      </c>
      <c r="L52" s="9" t="str">
        <f t="shared" si="2"/>
        <v>PASS</v>
      </c>
      <c r="M52" s="9" t="str">
        <f t="shared" si="3"/>
        <v>ELIGIBLE</v>
      </c>
      <c r="N52" s="9" t="str" cm="1">
        <f t="array" ref="N52">_xlfn.IFS(I52&gt;=95%,"EXCELLENT",I52&gt;=85%,"VERY GOOD",I52&gt;=75%,"GOOD",I52&gt;=65%,"IMPROVEMENT",I52&gt;=40%,"POOR",I52&gt;=0%,"WORST")</f>
        <v>VERY GOOD</v>
      </c>
    </row>
    <row r="53" spans="1:14" ht="20.25" customHeight="1">
      <c r="A53" s="9" t="s">
        <v>116</v>
      </c>
      <c r="B53" s="9" t="s">
        <v>117</v>
      </c>
      <c r="C53" s="9" t="s">
        <v>21</v>
      </c>
      <c r="D53" s="9" t="s">
        <v>15</v>
      </c>
      <c r="E53" s="9">
        <v>59</v>
      </c>
      <c r="F53" s="9">
        <v>63</v>
      </c>
      <c r="G53" s="9">
        <v>58</v>
      </c>
      <c r="H53" s="9">
        <v>66</v>
      </c>
      <c r="I53" s="11">
        <v>0.77</v>
      </c>
      <c r="J53" s="9">
        <f t="shared" si="0"/>
        <v>246</v>
      </c>
      <c r="K53" s="11">
        <f t="shared" si="1"/>
        <v>0.61499999999999999</v>
      </c>
      <c r="L53" s="9" t="str">
        <f t="shared" si="2"/>
        <v>PASS</v>
      </c>
      <c r="M53" s="9" t="str">
        <f t="shared" si="3"/>
        <v>ELIGIBLE</v>
      </c>
      <c r="N53" s="9" t="str" cm="1">
        <f t="array" ref="N53">_xlfn.IFS(I53&gt;=95%,"EXCELLENT",I53&gt;=85%,"VERY GOOD",I53&gt;=75%,"GOOD",I53&gt;=65%,"IMPROVEMENT",I53&gt;=40%,"POOR",I53&gt;=0%,"WORST")</f>
        <v>GOOD</v>
      </c>
    </row>
    <row r="54" spans="1:14" ht="20.25" customHeight="1">
      <c r="A54" s="9" t="s">
        <v>118</v>
      </c>
      <c r="B54" s="9" t="s">
        <v>119</v>
      </c>
      <c r="C54" s="9" t="s">
        <v>18</v>
      </c>
      <c r="D54" s="9" t="s">
        <v>12</v>
      </c>
      <c r="E54" s="9">
        <v>73</v>
      </c>
      <c r="F54" s="9">
        <v>70</v>
      </c>
      <c r="G54" s="9">
        <v>75</v>
      </c>
      <c r="H54" s="9">
        <v>79</v>
      </c>
      <c r="I54" s="11">
        <v>0.87</v>
      </c>
      <c r="J54" s="9">
        <f t="shared" si="0"/>
        <v>297</v>
      </c>
      <c r="K54" s="11">
        <f t="shared" si="1"/>
        <v>0.74250000000000005</v>
      </c>
      <c r="L54" s="9" t="str">
        <f t="shared" si="2"/>
        <v>PASS</v>
      </c>
      <c r="M54" s="9" t="str">
        <f t="shared" si="3"/>
        <v>ELIGIBLE</v>
      </c>
      <c r="N54" s="9" t="str" cm="1">
        <f t="array" ref="N54">_xlfn.IFS(I54&gt;=95%,"EXCELLENT",I54&gt;=85%,"VERY GOOD",I54&gt;=75%,"GOOD",I54&gt;=65%,"IMPROVEMENT",I54&gt;=40%,"POOR",I54&gt;=0%,"WORST")</f>
        <v>VERY GOOD</v>
      </c>
    </row>
    <row r="55" spans="1:14" ht="20.25" customHeight="1">
      <c r="A55" s="9" t="s">
        <v>120</v>
      </c>
      <c r="B55" s="9" t="s">
        <v>121</v>
      </c>
      <c r="C55" s="9" t="s">
        <v>11</v>
      </c>
      <c r="D55" s="9" t="s">
        <v>15</v>
      </c>
      <c r="E55" s="9">
        <v>91</v>
      </c>
      <c r="F55" s="9">
        <v>94</v>
      </c>
      <c r="G55" s="9">
        <v>89</v>
      </c>
      <c r="H55" s="9">
        <v>96</v>
      </c>
      <c r="I55" s="11">
        <v>0.98</v>
      </c>
      <c r="J55" s="9">
        <f t="shared" si="0"/>
        <v>370</v>
      </c>
      <c r="K55" s="11">
        <f t="shared" si="1"/>
        <v>0.92500000000000004</v>
      </c>
      <c r="L55" s="9" t="str">
        <f t="shared" si="2"/>
        <v>PASS</v>
      </c>
      <c r="M55" s="9" t="str">
        <f t="shared" si="3"/>
        <v>ELIGIBLE</v>
      </c>
      <c r="N55" s="9" t="str" cm="1">
        <f t="array" ref="N55">_xlfn.IFS(I55&gt;=95%,"EXCELLENT",I55&gt;=85%,"VERY GOOD",I55&gt;=75%,"GOOD",I55&gt;=65%,"IMPROVEMENT",I55&gt;=40%,"POOR",I55&gt;=0%,"WORST")</f>
        <v>EXCELLENT</v>
      </c>
    </row>
    <row r="56" spans="1:14" ht="20.25" customHeight="1">
      <c r="A56" s="9" t="s">
        <v>122</v>
      </c>
      <c r="B56" s="9" t="s">
        <v>123</v>
      </c>
      <c r="C56" s="9" t="s">
        <v>21</v>
      </c>
      <c r="D56" s="9" t="s">
        <v>12</v>
      </c>
      <c r="E56" s="9">
        <v>48</v>
      </c>
      <c r="F56" s="9">
        <v>55</v>
      </c>
      <c r="G56" s="9">
        <v>51</v>
      </c>
      <c r="H56" s="9">
        <v>59</v>
      </c>
      <c r="I56" s="11">
        <v>0.74</v>
      </c>
      <c r="J56" s="9">
        <f t="shared" si="0"/>
        <v>213</v>
      </c>
      <c r="K56" s="11">
        <f t="shared" si="1"/>
        <v>0.53249999999999997</v>
      </c>
      <c r="L56" s="9" t="str">
        <f t="shared" si="2"/>
        <v>PASS</v>
      </c>
      <c r="M56" s="9" t="str">
        <f t="shared" si="3"/>
        <v>NOT ELIGIBLE</v>
      </c>
      <c r="N56" s="9" t="str" cm="1">
        <f t="array" ref="N56">_xlfn.IFS(I56&gt;=95%,"EXCELLENT",I56&gt;=85%,"VERY GOOD",I56&gt;=75%,"GOOD",I56&gt;=65%,"IMPROVEMENT",I56&gt;=40%,"POOR",I56&gt;=0%,"WORST")</f>
        <v>IMPROVEMENT</v>
      </c>
    </row>
    <row r="57" spans="1:14" ht="20.25" customHeight="1">
      <c r="A57" s="9" t="s">
        <v>124</v>
      </c>
      <c r="B57" s="9" t="s">
        <v>125</v>
      </c>
      <c r="C57" s="9" t="s">
        <v>18</v>
      </c>
      <c r="D57" s="9" t="s">
        <v>15</v>
      </c>
      <c r="E57" s="9">
        <v>82</v>
      </c>
      <c r="F57" s="9">
        <v>78</v>
      </c>
      <c r="G57" s="9">
        <v>85</v>
      </c>
      <c r="H57" s="9">
        <v>90</v>
      </c>
      <c r="I57" s="11">
        <v>0.93</v>
      </c>
      <c r="J57" s="9">
        <f t="shared" si="0"/>
        <v>335</v>
      </c>
      <c r="K57" s="11">
        <f t="shared" si="1"/>
        <v>0.83750000000000002</v>
      </c>
      <c r="L57" s="9" t="str">
        <f t="shared" si="2"/>
        <v>PASS</v>
      </c>
      <c r="M57" s="9" t="str">
        <f t="shared" si="3"/>
        <v>ELIGIBLE</v>
      </c>
      <c r="N57" s="9" t="str" cm="1">
        <f t="array" ref="N57">_xlfn.IFS(I57&gt;=95%,"EXCELLENT",I57&gt;=85%,"VERY GOOD",I57&gt;=75%,"GOOD",I57&gt;=65%,"IMPROVEMENT",I57&gt;=40%,"POOR",I57&gt;=0%,"WORST")</f>
        <v>VERY GOOD</v>
      </c>
    </row>
    <row r="58" spans="1:14" ht="20.25" customHeight="1">
      <c r="A58" s="9" t="s">
        <v>126</v>
      </c>
      <c r="B58" s="9" t="s">
        <v>127</v>
      </c>
      <c r="C58" s="9" t="s">
        <v>11</v>
      </c>
      <c r="D58" s="9" t="s">
        <v>12</v>
      </c>
      <c r="E58" s="9">
        <v>66</v>
      </c>
      <c r="F58" s="9">
        <v>71</v>
      </c>
      <c r="G58" s="9">
        <v>68</v>
      </c>
      <c r="H58" s="9">
        <v>75</v>
      </c>
      <c r="I58" s="11">
        <v>0.84</v>
      </c>
      <c r="J58" s="9">
        <f t="shared" si="0"/>
        <v>280</v>
      </c>
      <c r="K58" s="11">
        <f t="shared" si="1"/>
        <v>0.7</v>
      </c>
      <c r="L58" s="9" t="str">
        <f t="shared" si="2"/>
        <v>PASS</v>
      </c>
      <c r="M58" s="9" t="str">
        <f t="shared" si="3"/>
        <v>ELIGIBLE</v>
      </c>
      <c r="N58" s="9" t="str" cm="1">
        <f t="array" ref="N58">_xlfn.IFS(I58&gt;=95%,"EXCELLENT",I58&gt;=85%,"VERY GOOD",I58&gt;=75%,"GOOD",I58&gt;=65%,"IMPROVEMENT",I58&gt;=40%,"POOR",I58&gt;=0%,"WORST")</f>
        <v>GOOD</v>
      </c>
    </row>
    <row r="59" spans="1:14" ht="20.25" customHeight="1">
      <c r="A59" s="9" t="s">
        <v>128</v>
      </c>
      <c r="B59" s="9" t="s">
        <v>129</v>
      </c>
      <c r="C59" s="9" t="s">
        <v>21</v>
      </c>
      <c r="D59" s="9" t="s">
        <v>15</v>
      </c>
      <c r="E59" s="9">
        <v>89</v>
      </c>
      <c r="F59" s="9">
        <v>85</v>
      </c>
      <c r="G59" s="9">
        <v>93</v>
      </c>
      <c r="H59" s="9">
        <v>92</v>
      </c>
      <c r="I59" s="11">
        <v>0.97</v>
      </c>
      <c r="J59" s="9">
        <f t="shared" si="0"/>
        <v>359</v>
      </c>
      <c r="K59" s="11">
        <f t="shared" si="1"/>
        <v>0.89749999999999996</v>
      </c>
      <c r="L59" s="9" t="str">
        <f t="shared" si="2"/>
        <v>PASS</v>
      </c>
      <c r="M59" s="9" t="str">
        <f t="shared" si="3"/>
        <v>ELIGIBLE</v>
      </c>
      <c r="N59" s="9" t="str" cm="1">
        <f t="array" ref="N59">_xlfn.IFS(I59&gt;=95%,"EXCELLENT",I59&gt;=85%,"VERY GOOD",I59&gt;=75%,"GOOD",I59&gt;=65%,"IMPROVEMENT",I59&gt;=40%,"POOR",I59&gt;=0%,"WORST")</f>
        <v>EXCELLENT</v>
      </c>
    </row>
    <row r="60" spans="1:14" ht="20.25" customHeight="1">
      <c r="A60" s="9" t="s">
        <v>130</v>
      </c>
      <c r="B60" s="9" t="s">
        <v>131</v>
      </c>
      <c r="C60" s="9" t="s">
        <v>18</v>
      </c>
      <c r="D60" s="9" t="s">
        <v>12</v>
      </c>
      <c r="E60" s="9">
        <v>55</v>
      </c>
      <c r="F60" s="9">
        <v>60</v>
      </c>
      <c r="G60" s="9">
        <v>53</v>
      </c>
      <c r="H60" s="9">
        <v>64</v>
      </c>
      <c r="I60" s="11">
        <v>0.76</v>
      </c>
      <c r="J60" s="9">
        <f t="shared" si="0"/>
        <v>232</v>
      </c>
      <c r="K60" s="11">
        <f t="shared" si="1"/>
        <v>0.57999999999999996</v>
      </c>
      <c r="L60" s="9" t="str">
        <f t="shared" si="2"/>
        <v>PASS</v>
      </c>
      <c r="M60" s="9" t="str">
        <f t="shared" si="3"/>
        <v>ELIGIBLE</v>
      </c>
      <c r="N60" s="9" t="str" cm="1">
        <f t="array" ref="N60">_xlfn.IFS(I60&gt;=95%,"EXCELLENT",I60&gt;=85%,"VERY GOOD",I60&gt;=75%,"GOOD",I60&gt;=65%,"IMPROVEMENT",I60&gt;=40%,"POOR",I60&gt;=0%,"WORST")</f>
        <v>GOOD</v>
      </c>
    </row>
    <row r="61" spans="1:14" ht="20.25" customHeight="1">
      <c r="A61" s="9" t="s">
        <v>132</v>
      </c>
      <c r="B61" s="9" t="s">
        <v>133</v>
      </c>
      <c r="C61" s="9" t="s">
        <v>11</v>
      </c>
      <c r="D61" s="9" t="s">
        <v>15</v>
      </c>
      <c r="E61" s="9">
        <v>76</v>
      </c>
      <c r="F61" s="9">
        <v>82</v>
      </c>
      <c r="G61" s="9">
        <v>79</v>
      </c>
      <c r="H61" s="9">
        <v>84</v>
      </c>
      <c r="I61" s="11">
        <v>0.91</v>
      </c>
      <c r="J61" s="9">
        <f t="shared" si="0"/>
        <v>321</v>
      </c>
      <c r="K61" s="11">
        <f t="shared" si="1"/>
        <v>0.80249999999999999</v>
      </c>
      <c r="L61" s="9" t="str">
        <f t="shared" si="2"/>
        <v>PASS</v>
      </c>
      <c r="M61" s="9" t="str">
        <f t="shared" si="3"/>
        <v>ELIGIBLE</v>
      </c>
      <c r="N61" s="9" t="str" cm="1">
        <f t="array" ref="N61">_xlfn.IFS(I61&gt;=95%,"EXCELLENT",I61&gt;=85%,"VERY GOOD",I61&gt;=75%,"GOOD",I61&gt;=65%,"IMPROVEMENT",I61&gt;=40%,"POOR",I61&gt;=0%,"WORST")</f>
        <v>VERY GOOD</v>
      </c>
    </row>
    <row r="62" spans="1:14" ht="20.25" customHeight="1">
      <c r="A62" s="9" t="s">
        <v>134</v>
      </c>
      <c r="B62" s="9" t="s">
        <v>135</v>
      </c>
      <c r="C62" s="9" t="s">
        <v>21</v>
      </c>
      <c r="D62" s="9" t="s">
        <v>12</v>
      </c>
      <c r="E62" s="9">
        <v>93</v>
      </c>
      <c r="F62" s="9">
        <v>90</v>
      </c>
      <c r="G62" s="9">
        <v>95</v>
      </c>
      <c r="H62" s="9">
        <v>97</v>
      </c>
      <c r="I62" s="11">
        <v>0.99</v>
      </c>
      <c r="J62" s="9">
        <f t="shared" si="0"/>
        <v>375</v>
      </c>
      <c r="K62" s="11">
        <f t="shared" si="1"/>
        <v>0.9375</v>
      </c>
      <c r="L62" s="9" t="str">
        <f t="shared" si="2"/>
        <v>PASS</v>
      </c>
      <c r="M62" s="9" t="str">
        <f t="shared" si="3"/>
        <v>ELIGIBLE</v>
      </c>
      <c r="N62" s="9" t="str" cm="1">
        <f t="array" ref="N62">_xlfn.IFS(I62&gt;=95%,"EXCELLENT",I62&gt;=85%,"VERY GOOD",I62&gt;=75%,"GOOD",I62&gt;=65%,"IMPROVEMENT",I62&gt;=40%,"POOR",I62&gt;=0%,"WORST")</f>
        <v>EXCELLENT</v>
      </c>
    </row>
    <row r="63" spans="1:14" ht="20.25" customHeight="1">
      <c r="A63" s="9" t="s">
        <v>136</v>
      </c>
      <c r="B63" s="9" t="s">
        <v>137</v>
      </c>
      <c r="C63" s="9" t="s">
        <v>18</v>
      </c>
      <c r="D63" s="9" t="s">
        <v>15</v>
      </c>
      <c r="E63" s="9">
        <v>71</v>
      </c>
      <c r="F63" s="9">
        <v>67</v>
      </c>
      <c r="G63" s="9">
        <v>73</v>
      </c>
      <c r="H63" s="9">
        <v>77</v>
      </c>
      <c r="I63" s="11">
        <v>0.85</v>
      </c>
      <c r="J63" s="9">
        <f t="shared" si="0"/>
        <v>288</v>
      </c>
      <c r="K63" s="11">
        <f t="shared" si="1"/>
        <v>0.72</v>
      </c>
      <c r="L63" s="9" t="str">
        <f t="shared" si="2"/>
        <v>PASS</v>
      </c>
      <c r="M63" s="9" t="str">
        <f t="shared" si="3"/>
        <v>ELIGIBLE</v>
      </c>
      <c r="N63" s="9" t="str" cm="1">
        <f t="array" ref="N63">_xlfn.IFS(I63&gt;=95%,"EXCELLENT",I63&gt;=85%,"VERY GOOD",I63&gt;=75%,"GOOD",I63&gt;=65%,"IMPROVEMENT",I63&gt;=40%,"POOR",I63&gt;=0%,"WORST")</f>
        <v>VERY GOOD</v>
      </c>
    </row>
    <row r="64" spans="1:14" ht="20.25" customHeight="1">
      <c r="A64" s="9" t="s">
        <v>138</v>
      </c>
      <c r="B64" s="9" t="s">
        <v>139</v>
      </c>
      <c r="C64" s="9" t="s">
        <v>11</v>
      </c>
      <c r="D64" s="9" t="s">
        <v>12</v>
      </c>
      <c r="E64" s="9">
        <v>45</v>
      </c>
      <c r="F64" s="9">
        <v>50</v>
      </c>
      <c r="G64" s="9">
        <v>47</v>
      </c>
      <c r="H64" s="9">
        <v>56</v>
      </c>
      <c r="I64" s="11">
        <v>0.72</v>
      </c>
      <c r="J64" s="9">
        <f t="shared" si="0"/>
        <v>198</v>
      </c>
      <c r="K64" s="11">
        <f t="shared" si="1"/>
        <v>0.495</v>
      </c>
      <c r="L64" s="9" t="str">
        <f t="shared" si="2"/>
        <v>PASS</v>
      </c>
      <c r="M64" s="9" t="str">
        <f t="shared" si="3"/>
        <v>NOT ELIGIBLE</v>
      </c>
      <c r="N64" s="9" t="str" cm="1">
        <f t="array" ref="N64">_xlfn.IFS(I64&gt;=95%,"EXCELLENT",I64&gt;=85%,"VERY GOOD",I64&gt;=75%,"GOOD",I64&gt;=65%,"IMPROVEMENT",I64&gt;=40%,"POOR",I64&gt;=0%,"WORST")</f>
        <v>IMPROVEMENT</v>
      </c>
    </row>
    <row r="65" spans="1:14" ht="20.25" customHeight="1">
      <c r="A65" s="9" t="s">
        <v>140</v>
      </c>
      <c r="B65" s="9" t="s">
        <v>141</v>
      </c>
      <c r="C65" s="9" t="s">
        <v>21</v>
      </c>
      <c r="D65" s="9" t="s">
        <v>15</v>
      </c>
      <c r="E65" s="9">
        <v>86</v>
      </c>
      <c r="F65" s="9">
        <v>91</v>
      </c>
      <c r="G65" s="9">
        <v>88</v>
      </c>
      <c r="H65" s="9">
        <v>94</v>
      </c>
      <c r="I65" s="11">
        <v>0.96</v>
      </c>
      <c r="J65" s="9">
        <f t="shared" si="0"/>
        <v>359</v>
      </c>
      <c r="K65" s="11">
        <f t="shared" si="1"/>
        <v>0.89749999999999996</v>
      </c>
      <c r="L65" s="9" t="str">
        <f t="shared" si="2"/>
        <v>PASS</v>
      </c>
      <c r="M65" s="9" t="str">
        <f t="shared" si="3"/>
        <v>ELIGIBLE</v>
      </c>
      <c r="N65" s="9" t="str" cm="1">
        <f t="array" ref="N65">_xlfn.IFS(I65&gt;=95%,"EXCELLENT",I65&gt;=85%,"VERY GOOD",I65&gt;=75%,"GOOD",I65&gt;=65%,"IMPROVEMENT",I65&gt;=40%,"POOR",I65&gt;=0%,"WORST")</f>
        <v>EXCELLENT</v>
      </c>
    </row>
    <row r="66" spans="1:14" ht="20.25" customHeight="1">
      <c r="A66" s="9" t="s">
        <v>142</v>
      </c>
      <c r="B66" s="9" t="s">
        <v>143</v>
      </c>
      <c r="C66" s="9" t="s">
        <v>18</v>
      </c>
      <c r="D66" s="9" t="s">
        <v>12</v>
      </c>
      <c r="E66" s="9">
        <v>60</v>
      </c>
      <c r="F66" s="9">
        <v>65</v>
      </c>
      <c r="G66" s="9">
        <v>62</v>
      </c>
      <c r="H66" s="9">
        <v>69</v>
      </c>
      <c r="I66" s="11">
        <v>0.8</v>
      </c>
      <c r="J66" s="9">
        <f t="shared" si="0"/>
        <v>256</v>
      </c>
      <c r="K66" s="11">
        <f t="shared" si="1"/>
        <v>0.64</v>
      </c>
      <c r="L66" s="9" t="str">
        <f t="shared" si="2"/>
        <v>PASS</v>
      </c>
      <c r="M66" s="9" t="str">
        <f t="shared" si="3"/>
        <v>ELIGIBLE</v>
      </c>
      <c r="N66" s="9" t="str" cm="1">
        <f t="array" ref="N66">_xlfn.IFS(I66&gt;=95%,"EXCELLENT",I66&gt;=85%,"VERY GOOD",I66&gt;=75%,"GOOD",I66&gt;=65%,"IMPROVEMENT",I66&gt;=40%,"POOR",I66&gt;=0%,"WORST")</f>
        <v>GOOD</v>
      </c>
    </row>
    <row r="67" spans="1:14" ht="20.25" customHeight="1">
      <c r="A67" s="9" t="s">
        <v>144</v>
      </c>
      <c r="B67" s="9" t="s">
        <v>145</v>
      </c>
      <c r="C67" s="9" t="s">
        <v>11</v>
      </c>
      <c r="D67" s="9" t="s">
        <v>15</v>
      </c>
      <c r="E67" s="9">
        <v>79</v>
      </c>
      <c r="F67" s="9">
        <v>84</v>
      </c>
      <c r="G67" s="9">
        <v>81</v>
      </c>
      <c r="H67" s="9">
        <v>87</v>
      </c>
      <c r="I67" s="11">
        <v>0.92</v>
      </c>
      <c r="J67" s="9">
        <f t="shared" ref="J67:J101" si="4">SUM(E67:H67)</f>
        <v>331</v>
      </c>
      <c r="K67" s="11">
        <f t="shared" ref="K67:K101" si="5">J67/400</f>
        <v>0.82750000000000001</v>
      </c>
      <c r="L67" s="9" t="str">
        <f t="shared" ref="L67:L101" si="6">IF(MIN(E67:H67)&gt;=40,"PASS","FAIL")</f>
        <v>PASS</v>
      </c>
      <c r="M67" s="9" t="str">
        <f t="shared" ref="M67:M101" si="7">IF(I67&gt;=75%,"ELIGIBLE","NOT ELIGIBLE")</f>
        <v>ELIGIBLE</v>
      </c>
      <c r="N67" s="9" t="str" cm="1">
        <f t="array" ref="N67">_xlfn.IFS(I67&gt;=95%,"EXCELLENT",I67&gt;=85%,"VERY GOOD",I67&gt;=75%,"GOOD",I67&gt;=65%,"IMPROVEMENT",I67&gt;=40%,"POOR",I67&gt;=0%,"WORST")</f>
        <v>VERY GOOD</v>
      </c>
    </row>
    <row r="68" spans="1:14" ht="20.25" customHeight="1">
      <c r="A68" s="9" t="s">
        <v>146</v>
      </c>
      <c r="B68" s="9" t="s">
        <v>147</v>
      </c>
      <c r="C68" s="9" t="s">
        <v>21</v>
      </c>
      <c r="D68" s="9" t="s">
        <v>12</v>
      </c>
      <c r="E68" s="9">
        <v>53</v>
      </c>
      <c r="F68" s="9">
        <v>57</v>
      </c>
      <c r="G68" s="9">
        <v>50</v>
      </c>
      <c r="H68" s="9">
        <v>61</v>
      </c>
      <c r="I68" s="11">
        <v>0.75</v>
      </c>
      <c r="J68" s="9">
        <f t="shared" si="4"/>
        <v>221</v>
      </c>
      <c r="K68" s="11">
        <f t="shared" si="5"/>
        <v>0.55249999999999999</v>
      </c>
      <c r="L68" s="9" t="str">
        <f t="shared" si="6"/>
        <v>PASS</v>
      </c>
      <c r="M68" s="9" t="str">
        <f t="shared" si="7"/>
        <v>ELIGIBLE</v>
      </c>
      <c r="N68" s="9" t="str" cm="1">
        <f t="array" ref="N68">_xlfn.IFS(I68&gt;=95%,"EXCELLENT",I68&gt;=85%,"VERY GOOD",I68&gt;=75%,"GOOD",I68&gt;=65%,"IMPROVEMENT",I68&gt;=40%,"POOR",I68&gt;=0%,"WORST")</f>
        <v>GOOD</v>
      </c>
    </row>
    <row r="69" spans="1:14" ht="20.25" customHeight="1">
      <c r="A69" s="9" t="s">
        <v>148</v>
      </c>
      <c r="B69" s="9" t="s">
        <v>149</v>
      </c>
      <c r="C69" s="9" t="s">
        <v>18</v>
      </c>
      <c r="D69" s="9" t="s">
        <v>15</v>
      </c>
      <c r="E69" s="9">
        <v>88</v>
      </c>
      <c r="F69" s="9">
        <v>92</v>
      </c>
      <c r="G69" s="9">
        <v>86</v>
      </c>
      <c r="H69" s="9">
        <v>90</v>
      </c>
      <c r="I69" s="11">
        <v>0.98</v>
      </c>
      <c r="J69" s="9">
        <f t="shared" si="4"/>
        <v>356</v>
      </c>
      <c r="K69" s="11">
        <f t="shared" si="5"/>
        <v>0.89</v>
      </c>
      <c r="L69" s="9" t="str">
        <f t="shared" si="6"/>
        <v>PASS</v>
      </c>
      <c r="M69" s="9" t="str">
        <f t="shared" si="7"/>
        <v>ELIGIBLE</v>
      </c>
      <c r="N69" s="9" t="str" cm="1">
        <f t="array" ref="N69">_xlfn.IFS(I69&gt;=95%,"EXCELLENT",I69&gt;=85%,"VERY GOOD",I69&gt;=75%,"GOOD",I69&gt;=65%,"IMPROVEMENT",I69&gt;=40%,"POOR",I69&gt;=0%,"WORST")</f>
        <v>EXCELLENT</v>
      </c>
    </row>
    <row r="70" spans="1:14" ht="20.25" customHeight="1">
      <c r="A70" s="9" t="s">
        <v>150</v>
      </c>
      <c r="B70" s="9" t="s">
        <v>151</v>
      </c>
      <c r="C70" s="9" t="s">
        <v>11</v>
      </c>
      <c r="D70" s="9" t="s">
        <v>12</v>
      </c>
      <c r="E70" s="9">
        <v>68</v>
      </c>
      <c r="F70" s="9">
        <v>74</v>
      </c>
      <c r="G70" s="9">
        <v>71</v>
      </c>
      <c r="H70" s="9">
        <v>76</v>
      </c>
      <c r="I70" s="11">
        <v>0.83</v>
      </c>
      <c r="J70" s="9">
        <f t="shared" si="4"/>
        <v>289</v>
      </c>
      <c r="K70" s="11">
        <f t="shared" si="5"/>
        <v>0.72250000000000003</v>
      </c>
      <c r="L70" s="9" t="str">
        <f t="shared" si="6"/>
        <v>PASS</v>
      </c>
      <c r="M70" s="9" t="str">
        <f t="shared" si="7"/>
        <v>ELIGIBLE</v>
      </c>
      <c r="N70" s="9" t="str" cm="1">
        <f t="array" ref="N70">_xlfn.IFS(I70&gt;=95%,"EXCELLENT",I70&gt;=85%,"VERY GOOD",I70&gt;=75%,"GOOD",I70&gt;=65%,"IMPROVEMENT",I70&gt;=40%,"POOR",I70&gt;=0%,"WORST")</f>
        <v>GOOD</v>
      </c>
    </row>
    <row r="71" spans="1:14" ht="20.25" customHeight="1">
      <c r="A71" s="9" t="s">
        <v>152</v>
      </c>
      <c r="B71" s="9" t="s">
        <v>153</v>
      </c>
      <c r="C71" s="9" t="s">
        <v>21</v>
      </c>
      <c r="D71" s="9" t="s">
        <v>15</v>
      </c>
      <c r="E71" s="9">
        <v>95</v>
      </c>
      <c r="F71" s="9">
        <v>89</v>
      </c>
      <c r="G71" s="9">
        <v>94</v>
      </c>
      <c r="H71" s="9">
        <v>96</v>
      </c>
      <c r="I71" s="11">
        <v>0.99</v>
      </c>
      <c r="J71" s="9">
        <f t="shared" si="4"/>
        <v>374</v>
      </c>
      <c r="K71" s="11">
        <f t="shared" si="5"/>
        <v>0.93500000000000005</v>
      </c>
      <c r="L71" s="9" t="str">
        <f t="shared" si="6"/>
        <v>PASS</v>
      </c>
      <c r="M71" s="9" t="str">
        <f t="shared" si="7"/>
        <v>ELIGIBLE</v>
      </c>
      <c r="N71" s="9" t="str" cm="1">
        <f t="array" ref="N71">_xlfn.IFS(I71&gt;=95%,"EXCELLENT",I71&gt;=85%,"VERY GOOD",I71&gt;=75%,"GOOD",I71&gt;=65%,"IMPROVEMENT",I71&gt;=40%,"POOR",I71&gt;=0%,"WORST")</f>
        <v>EXCELLENT</v>
      </c>
    </row>
    <row r="72" spans="1:14" ht="20.25" customHeight="1">
      <c r="A72" s="9" t="s">
        <v>154</v>
      </c>
      <c r="B72" s="9" t="s">
        <v>155</v>
      </c>
      <c r="C72" s="9" t="s">
        <v>18</v>
      </c>
      <c r="D72" s="9" t="s">
        <v>12</v>
      </c>
      <c r="E72" s="9">
        <v>39</v>
      </c>
      <c r="F72" s="9">
        <v>46</v>
      </c>
      <c r="G72" s="9">
        <v>42</v>
      </c>
      <c r="H72" s="9">
        <v>51</v>
      </c>
      <c r="I72" s="11">
        <v>0.68</v>
      </c>
      <c r="J72" s="9">
        <f t="shared" si="4"/>
        <v>178</v>
      </c>
      <c r="K72" s="11">
        <f t="shared" si="5"/>
        <v>0.44500000000000001</v>
      </c>
      <c r="L72" s="9" t="str">
        <f t="shared" si="6"/>
        <v>FAIL</v>
      </c>
      <c r="M72" s="9" t="str">
        <f t="shared" si="7"/>
        <v>NOT ELIGIBLE</v>
      </c>
      <c r="N72" s="9" t="str" cm="1">
        <f t="array" ref="N72">_xlfn.IFS(I72&gt;=95%,"EXCELLENT",I72&gt;=85%,"VERY GOOD",I72&gt;=75%,"GOOD",I72&gt;=65%,"IMPROVEMENT",I72&gt;=40%,"POOR",I72&gt;=0%,"WORST")</f>
        <v>IMPROVEMENT</v>
      </c>
    </row>
    <row r="73" spans="1:14" ht="20.25" customHeight="1">
      <c r="A73" s="9" t="s">
        <v>156</v>
      </c>
      <c r="B73" s="9" t="s">
        <v>157</v>
      </c>
      <c r="C73" s="9" t="s">
        <v>11</v>
      </c>
      <c r="D73" s="9" t="s">
        <v>15</v>
      </c>
      <c r="E73" s="9">
        <v>81</v>
      </c>
      <c r="F73" s="9">
        <v>86</v>
      </c>
      <c r="G73" s="9">
        <v>83</v>
      </c>
      <c r="H73" s="9">
        <v>88</v>
      </c>
      <c r="I73" s="11">
        <v>0.94</v>
      </c>
      <c r="J73" s="9">
        <f t="shared" si="4"/>
        <v>338</v>
      </c>
      <c r="K73" s="11">
        <f t="shared" si="5"/>
        <v>0.84499999999999997</v>
      </c>
      <c r="L73" s="9" t="str">
        <f t="shared" si="6"/>
        <v>PASS</v>
      </c>
      <c r="M73" s="9" t="str">
        <f t="shared" si="7"/>
        <v>ELIGIBLE</v>
      </c>
      <c r="N73" s="9" t="str" cm="1">
        <f t="array" ref="N73">_xlfn.IFS(I73&gt;=95%,"EXCELLENT",I73&gt;=85%,"VERY GOOD",I73&gt;=75%,"GOOD",I73&gt;=65%,"IMPROVEMENT",I73&gt;=40%,"POOR",I73&gt;=0%,"WORST")</f>
        <v>VERY GOOD</v>
      </c>
    </row>
    <row r="74" spans="1:14" ht="20.25" customHeight="1">
      <c r="A74" s="9" t="s">
        <v>158</v>
      </c>
      <c r="B74" s="9" t="s">
        <v>159</v>
      </c>
      <c r="C74" s="9" t="s">
        <v>21</v>
      </c>
      <c r="D74" s="9" t="s">
        <v>12</v>
      </c>
      <c r="E74" s="9">
        <v>74</v>
      </c>
      <c r="F74" s="9">
        <v>69</v>
      </c>
      <c r="G74" s="9">
        <v>77</v>
      </c>
      <c r="H74" s="9">
        <v>82</v>
      </c>
      <c r="I74" s="11">
        <v>0.89</v>
      </c>
      <c r="J74" s="9">
        <f t="shared" si="4"/>
        <v>302</v>
      </c>
      <c r="K74" s="11">
        <f t="shared" si="5"/>
        <v>0.755</v>
      </c>
      <c r="L74" s="9" t="str">
        <f t="shared" si="6"/>
        <v>PASS</v>
      </c>
      <c r="M74" s="9" t="str">
        <f t="shared" si="7"/>
        <v>ELIGIBLE</v>
      </c>
      <c r="N74" s="9" t="str" cm="1">
        <f t="array" ref="N74">_xlfn.IFS(I74&gt;=95%,"EXCELLENT",I74&gt;=85%,"VERY GOOD",I74&gt;=75%,"GOOD",I74&gt;=65%,"IMPROVEMENT",I74&gt;=40%,"POOR",I74&gt;=0%,"WORST")</f>
        <v>VERY GOOD</v>
      </c>
    </row>
    <row r="75" spans="1:14" ht="20.25" customHeight="1">
      <c r="A75" s="9" t="s">
        <v>160</v>
      </c>
      <c r="B75" s="9" t="s">
        <v>161</v>
      </c>
      <c r="C75" s="9" t="s">
        <v>18</v>
      </c>
      <c r="D75" s="9" t="s">
        <v>15</v>
      </c>
      <c r="E75" s="9">
        <v>92</v>
      </c>
      <c r="F75" s="9">
        <v>96</v>
      </c>
      <c r="G75" s="9">
        <v>91</v>
      </c>
      <c r="H75" s="9">
        <v>95</v>
      </c>
      <c r="I75" s="11">
        <v>0.98</v>
      </c>
      <c r="J75" s="9">
        <f t="shared" si="4"/>
        <v>374</v>
      </c>
      <c r="K75" s="11">
        <f t="shared" si="5"/>
        <v>0.93500000000000005</v>
      </c>
      <c r="L75" s="9" t="str">
        <f t="shared" si="6"/>
        <v>PASS</v>
      </c>
      <c r="M75" s="9" t="str">
        <f t="shared" si="7"/>
        <v>ELIGIBLE</v>
      </c>
      <c r="N75" s="9" t="str" cm="1">
        <f t="array" ref="N75">_xlfn.IFS(I75&gt;=95%,"EXCELLENT",I75&gt;=85%,"VERY GOOD",I75&gt;=75%,"GOOD",I75&gt;=65%,"IMPROVEMENT",I75&gt;=40%,"POOR",I75&gt;=0%,"WORST")</f>
        <v>EXCELLENT</v>
      </c>
    </row>
    <row r="76" spans="1:14" ht="20.25" customHeight="1">
      <c r="A76" s="9" t="s">
        <v>162</v>
      </c>
      <c r="B76" s="9" t="s">
        <v>163</v>
      </c>
      <c r="C76" s="9" t="s">
        <v>11</v>
      </c>
      <c r="D76" s="9" t="s">
        <v>12</v>
      </c>
      <c r="E76" s="9">
        <v>58</v>
      </c>
      <c r="F76" s="9">
        <v>54</v>
      </c>
      <c r="G76" s="9">
        <v>60</v>
      </c>
      <c r="H76" s="9">
        <v>67</v>
      </c>
      <c r="I76" s="11">
        <v>0.78</v>
      </c>
      <c r="J76" s="9">
        <f t="shared" si="4"/>
        <v>239</v>
      </c>
      <c r="K76" s="11">
        <f t="shared" si="5"/>
        <v>0.59750000000000003</v>
      </c>
      <c r="L76" s="9" t="str">
        <f t="shared" si="6"/>
        <v>PASS</v>
      </c>
      <c r="M76" s="9" t="str">
        <f t="shared" si="7"/>
        <v>ELIGIBLE</v>
      </c>
      <c r="N76" s="9" t="str" cm="1">
        <f t="array" ref="N76">_xlfn.IFS(I76&gt;=95%,"EXCELLENT",I76&gt;=85%,"VERY GOOD",I76&gt;=75%,"GOOD",I76&gt;=65%,"IMPROVEMENT",I76&gt;=40%,"POOR",I76&gt;=0%,"WORST")</f>
        <v>GOOD</v>
      </c>
    </row>
    <row r="77" spans="1:14" ht="20.25" customHeight="1">
      <c r="A77" s="9" t="s">
        <v>164</v>
      </c>
      <c r="B77" s="9" t="s">
        <v>165</v>
      </c>
      <c r="C77" s="9" t="s">
        <v>21</v>
      </c>
      <c r="D77" s="9" t="s">
        <v>12</v>
      </c>
      <c r="E77" s="9">
        <v>77</v>
      </c>
      <c r="F77" s="9">
        <v>81</v>
      </c>
      <c r="G77" s="9">
        <v>75</v>
      </c>
      <c r="H77" s="9">
        <v>84</v>
      </c>
      <c r="I77" s="11">
        <v>0.9</v>
      </c>
      <c r="J77" s="9">
        <f t="shared" si="4"/>
        <v>317</v>
      </c>
      <c r="K77" s="11">
        <f t="shared" si="5"/>
        <v>0.79249999999999998</v>
      </c>
      <c r="L77" s="9" t="str">
        <f t="shared" si="6"/>
        <v>PASS</v>
      </c>
      <c r="M77" s="9" t="str">
        <f t="shared" si="7"/>
        <v>ELIGIBLE</v>
      </c>
      <c r="N77" s="9" t="str" cm="1">
        <f t="array" ref="N77">_xlfn.IFS(I77&gt;=95%,"EXCELLENT",I77&gt;=85%,"VERY GOOD",I77&gt;=75%,"GOOD",I77&gt;=65%,"IMPROVEMENT",I77&gt;=40%,"POOR",I77&gt;=0%,"WORST")</f>
        <v>VERY GOOD</v>
      </c>
    </row>
    <row r="78" spans="1:14" ht="20.25" customHeight="1">
      <c r="A78" s="9" t="s">
        <v>166</v>
      </c>
      <c r="B78" s="9" t="s">
        <v>167</v>
      </c>
      <c r="C78" s="9" t="s">
        <v>18</v>
      </c>
      <c r="D78" s="9" t="s">
        <v>15</v>
      </c>
      <c r="E78" s="9">
        <v>85</v>
      </c>
      <c r="F78" s="9">
        <v>88</v>
      </c>
      <c r="G78" s="9">
        <v>82</v>
      </c>
      <c r="H78" s="9">
        <v>91</v>
      </c>
      <c r="I78" s="11">
        <v>0.95</v>
      </c>
      <c r="J78" s="9">
        <f t="shared" si="4"/>
        <v>346</v>
      </c>
      <c r="K78" s="11">
        <f t="shared" si="5"/>
        <v>0.86499999999999999</v>
      </c>
      <c r="L78" s="9" t="str">
        <f t="shared" si="6"/>
        <v>PASS</v>
      </c>
      <c r="M78" s="9" t="str">
        <f t="shared" si="7"/>
        <v>ELIGIBLE</v>
      </c>
      <c r="N78" s="9" t="str" cm="1">
        <f t="array" ref="N78">_xlfn.IFS(I78&gt;=95%,"EXCELLENT",I78&gt;=85%,"VERY GOOD",I78&gt;=75%,"GOOD",I78&gt;=65%,"IMPROVEMENT",I78&gt;=40%,"POOR",I78&gt;=0%,"WORST")</f>
        <v>EXCELLENT</v>
      </c>
    </row>
    <row r="79" spans="1:14" ht="20.25" customHeight="1">
      <c r="A79" s="9" t="s">
        <v>168</v>
      </c>
      <c r="B79" s="9" t="s">
        <v>169</v>
      </c>
      <c r="C79" s="9" t="s">
        <v>11</v>
      </c>
      <c r="D79" s="9" t="s">
        <v>15</v>
      </c>
      <c r="E79" s="9">
        <v>70</v>
      </c>
      <c r="F79" s="9">
        <v>76</v>
      </c>
      <c r="G79" s="9">
        <v>73</v>
      </c>
      <c r="H79" s="9">
        <v>79</v>
      </c>
      <c r="I79" s="11">
        <v>0.86</v>
      </c>
      <c r="J79" s="9">
        <f t="shared" si="4"/>
        <v>298</v>
      </c>
      <c r="K79" s="11">
        <f t="shared" si="5"/>
        <v>0.745</v>
      </c>
      <c r="L79" s="9" t="str">
        <f t="shared" si="6"/>
        <v>PASS</v>
      </c>
      <c r="M79" s="9" t="str">
        <f t="shared" si="7"/>
        <v>ELIGIBLE</v>
      </c>
      <c r="N79" s="9" t="str" cm="1">
        <f t="array" ref="N79">_xlfn.IFS(I79&gt;=95%,"EXCELLENT",I79&gt;=85%,"VERY GOOD",I79&gt;=75%,"GOOD",I79&gt;=65%,"IMPROVEMENT",I79&gt;=40%,"POOR",I79&gt;=0%,"WORST")</f>
        <v>VERY GOOD</v>
      </c>
    </row>
    <row r="80" spans="1:14" ht="20.25" customHeight="1">
      <c r="A80" s="9" t="s">
        <v>170</v>
      </c>
      <c r="B80" s="9" t="s">
        <v>171</v>
      </c>
      <c r="C80" s="9" t="s">
        <v>21</v>
      </c>
      <c r="D80" s="9" t="s">
        <v>12</v>
      </c>
      <c r="E80" s="9">
        <v>43</v>
      </c>
      <c r="F80" s="9">
        <v>49</v>
      </c>
      <c r="G80" s="9">
        <v>45</v>
      </c>
      <c r="H80" s="9">
        <v>54</v>
      </c>
      <c r="I80" s="11">
        <v>0.7</v>
      </c>
      <c r="J80" s="9">
        <f t="shared" si="4"/>
        <v>191</v>
      </c>
      <c r="K80" s="11">
        <f t="shared" si="5"/>
        <v>0.47749999999999998</v>
      </c>
      <c r="L80" s="9" t="str">
        <f t="shared" si="6"/>
        <v>PASS</v>
      </c>
      <c r="M80" s="9" t="str">
        <f t="shared" si="7"/>
        <v>NOT ELIGIBLE</v>
      </c>
      <c r="N80" s="9" t="str" cm="1">
        <f t="array" ref="N80">_xlfn.IFS(I80&gt;=95%,"EXCELLENT",I80&gt;=85%,"VERY GOOD",I80&gt;=75%,"GOOD",I80&gt;=65%,"IMPROVEMENT",I80&gt;=40%,"POOR",I80&gt;=0%,"WORST")</f>
        <v>IMPROVEMENT</v>
      </c>
    </row>
    <row r="81" spans="1:14" ht="20.25" customHeight="1">
      <c r="A81" s="9" t="s">
        <v>172</v>
      </c>
      <c r="B81" s="9" t="s">
        <v>173</v>
      </c>
      <c r="C81" s="9" t="s">
        <v>18</v>
      </c>
      <c r="D81" s="9" t="s">
        <v>15</v>
      </c>
      <c r="E81" s="9">
        <v>90</v>
      </c>
      <c r="F81" s="9">
        <v>87</v>
      </c>
      <c r="G81" s="9">
        <v>93</v>
      </c>
      <c r="H81" s="9">
        <v>96</v>
      </c>
      <c r="I81" s="11">
        <v>0.98</v>
      </c>
      <c r="J81" s="9">
        <f t="shared" si="4"/>
        <v>366</v>
      </c>
      <c r="K81" s="11">
        <f t="shared" si="5"/>
        <v>0.91500000000000004</v>
      </c>
      <c r="L81" s="9" t="str">
        <f t="shared" si="6"/>
        <v>PASS</v>
      </c>
      <c r="M81" s="9" t="str">
        <f t="shared" si="7"/>
        <v>ELIGIBLE</v>
      </c>
      <c r="N81" s="9" t="str" cm="1">
        <f t="array" ref="N81">_xlfn.IFS(I81&gt;=95%,"EXCELLENT",I81&gt;=85%,"VERY GOOD",I81&gt;=75%,"GOOD",I81&gt;=65%,"IMPROVEMENT",I81&gt;=40%,"POOR",I81&gt;=0%,"WORST")</f>
        <v>EXCELLENT</v>
      </c>
    </row>
    <row r="82" spans="1:14" ht="20.25" customHeight="1">
      <c r="A82" s="9" t="s">
        <v>174</v>
      </c>
      <c r="B82" s="9" t="s">
        <v>175</v>
      </c>
      <c r="C82" s="9" t="s">
        <v>11</v>
      </c>
      <c r="D82" s="9" t="s">
        <v>12</v>
      </c>
      <c r="E82" s="9">
        <v>64</v>
      </c>
      <c r="F82" s="9">
        <v>69</v>
      </c>
      <c r="G82" s="9">
        <v>66</v>
      </c>
      <c r="H82" s="9">
        <v>72</v>
      </c>
      <c r="I82" s="11">
        <v>0.82</v>
      </c>
      <c r="J82" s="9">
        <f t="shared" si="4"/>
        <v>271</v>
      </c>
      <c r="K82" s="11">
        <f t="shared" si="5"/>
        <v>0.67749999999999999</v>
      </c>
      <c r="L82" s="9" t="str">
        <f t="shared" si="6"/>
        <v>PASS</v>
      </c>
      <c r="M82" s="9" t="str">
        <f t="shared" si="7"/>
        <v>ELIGIBLE</v>
      </c>
      <c r="N82" s="9" t="str" cm="1">
        <f t="array" ref="N82">_xlfn.IFS(I82&gt;=95%,"EXCELLENT",I82&gt;=85%,"VERY GOOD",I82&gt;=75%,"GOOD",I82&gt;=65%,"IMPROVEMENT",I82&gt;=40%,"POOR",I82&gt;=0%,"WORST")</f>
        <v>GOOD</v>
      </c>
    </row>
    <row r="83" spans="1:14" ht="20.25" customHeight="1">
      <c r="A83" s="9" t="s">
        <v>176</v>
      </c>
      <c r="B83" s="9" t="s">
        <v>177</v>
      </c>
      <c r="C83" s="9" t="s">
        <v>21</v>
      </c>
      <c r="D83" s="9" t="s">
        <v>15</v>
      </c>
      <c r="E83" s="9">
        <v>83</v>
      </c>
      <c r="F83" s="9">
        <v>79</v>
      </c>
      <c r="G83" s="9">
        <v>87</v>
      </c>
      <c r="H83" s="9">
        <v>89</v>
      </c>
      <c r="I83" s="11">
        <v>0.93</v>
      </c>
      <c r="J83" s="9">
        <f t="shared" si="4"/>
        <v>338</v>
      </c>
      <c r="K83" s="11">
        <f t="shared" si="5"/>
        <v>0.84499999999999997</v>
      </c>
      <c r="L83" s="9" t="str">
        <f t="shared" si="6"/>
        <v>PASS</v>
      </c>
      <c r="M83" s="9" t="str">
        <f t="shared" si="7"/>
        <v>ELIGIBLE</v>
      </c>
      <c r="N83" s="9" t="str" cm="1">
        <f t="array" ref="N83">_xlfn.IFS(I83&gt;=95%,"EXCELLENT",I83&gt;=85%,"VERY GOOD",I83&gt;=75%,"GOOD",I83&gt;=65%,"IMPROVEMENT",I83&gt;=40%,"POOR",I83&gt;=0%,"WORST")</f>
        <v>VERY GOOD</v>
      </c>
    </row>
    <row r="84" spans="1:14" ht="20.25" customHeight="1">
      <c r="A84" s="9" t="s">
        <v>178</v>
      </c>
      <c r="B84" s="9" t="s">
        <v>179</v>
      </c>
      <c r="C84" s="9" t="s">
        <v>18</v>
      </c>
      <c r="D84" s="9" t="s">
        <v>12</v>
      </c>
      <c r="E84" s="9">
        <v>51</v>
      </c>
      <c r="F84" s="9">
        <v>56</v>
      </c>
      <c r="G84" s="9">
        <v>54</v>
      </c>
      <c r="H84" s="9">
        <v>63</v>
      </c>
      <c r="I84" s="11">
        <v>0.76</v>
      </c>
      <c r="J84" s="9">
        <f t="shared" si="4"/>
        <v>224</v>
      </c>
      <c r="K84" s="11">
        <f t="shared" si="5"/>
        <v>0.56000000000000005</v>
      </c>
      <c r="L84" s="9" t="str">
        <f t="shared" si="6"/>
        <v>PASS</v>
      </c>
      <c r="M84" s="9" t="str">
        <f t="shared" si="7"/>
        <v>ELIGIBLE</v>
      </c>
      <c r="N84" s="9" t="str" cm="1">
        <f t="array" ref="N84">_xlfn.IFS(I84&gt;=95%,"EXCELLENT",I84&gt;=85%,"VERY GOOD",I84&gt;=75%,"GOOD",I84&gt;=65%,"IMPROVEMENT",I84&gt;=40%,"POOR",I84&gt;=0%,"WORST")</f>
        <v>GOOD</v>
      </c>
    </row>
    <row r="85" spans="1:14" ht="20.25" customHeight="1">
      <c r="A85" s="9" t="s">
        <v>180</v>
      </c>
      <c r="B85" s="9" t="s">
        <v>181</v>
      </c>
      <c r="C85" s="9" t="s">
        <v>11</v>
      </c>
      <c r="D85" s="9" t="s">
        <v>15</v>
      </c>
      <c r="E85" s="9">
        <v>96</v>
      </c>
      <c r="F85" s="9">
        <v>94</v>
      </c>
      <c r="G85" s="9">
        <v>97</v>
      </c>
      <c r="H85" s="9">
        <v>98</v>
      </c>
      <c r="I85" s="11">
        <v>1</v>
      </c>
      <c r="J85" s="9">
        <f t="shared" si="4"/>
        <v>385</v>
      </c>
      <c r="K85" s="11">
        <f t="shared" si="5"/>
        <v>0.96250000000000002</v>
      </c>
      <c r="L85" s="9" t="str">
        <f t="shared" si="6"/>
        <v>PASS</v>
      </c>
      <c r="M85" s="9" t="str">
        <f t="shared" si="7"/>
        <v>ELIGIBLE</v>
      </c>
      <c r="N85" s="9" t="str" cm="1">
        <f t="array" ref="N85">_xlfn.IFS(I85&gt;=95%,"EXCELLENT",I85&gt;=85%,"VERY GOOD",I85&gt;=75%,"GOOD",I85&gt;=65%,"IMPROVEMENT",I85&gt;=40%,"POOR",I85&gt;=0%,"WORST")</f>
        <v>EXCELLENT</v>
      </c>
    </row>
    <row r="86" spans="1:14" ht="20.25" customHeight="1">
      <c r="A86" s="9" t="s">
        <v>182</v>
      </c>
      <c r="B86" s="9" t="s">
        <v>183</v>
      </c>
      <c r="C86" s="9" t="s">
        <v>21</v>
      </c>
      <c r="D86" s="9" t="s">
        <v>12</v>
      </c>
      <c r="E86" s="9">
        <v>72</v>
      </c>
      <c r="F86" s="9">
        <v>77</v>
      </c>
      <c r="G86" s="9">
        <v>70</v>
      </c>
      <c r="H86" s="9">
        <v>81</v>
      </c>
      <c r="I86" s="11">
        <v>0.88</v>
      </c>
      <c r="J86" s="9">
        <f t="shared" si="4"/>
        <v>300</v>
      </c>
      <c r="K86" s="11">
        <f t="shared" si="5"/>
        <v>0.75</v>
      </c>
      <c r="L86" s="9" t="str">
        <f t="shared" si="6"/>
        <v>PASS</v>
      </c>
      <c r="M86" s="9" t="str">
        <f t="shared" si="7"/>
        <v>ELIGIBLE</v>
      </c>
      <c r="N86" s="9" t="str" cm="1">
        <f t="array" ref="N86">_xlfn.IFS(I86&gt;=95%,"EXCELLENT",I86&gt;=85%,"VERY GOOD",I86&gt;=75%,"GOOD",I86&gt;=65%,"IMPROVEMENT",I86&gt;=40%,"POOR",I86&gt;=0%,"WORST")</f>
        <v>VERY GOOD</v>
      </c>
    </row>
    <row r="87" spans="1:14" ht="20.25" customHeight="1">
      <c r="A87" s="9" t="s">
        <v>184</v>
      </c>
      <c r="B87" s="9" t="s">
        <v>185</v>
      </c>
      <c r="C87" s="9" t="s">
        <v>18</v>
      </c>
      <c r="D87" s="9" t="s">
        <v>15</v>
      </c>
      <c r="E87" s="9">
        <v>79</v>
      </c>
      <c r="F87" s="9">
        <v>85</v>
      </c>
      <c r="G87" s="9">
        <v>82</v>
      </c>
      <c r="H87" s="9">
        <v>86</v>
      </c>
      <c r="I87" s="11">
        <v>0.92</v>
      </c>
      <c r="J87" s="9">
        <f t="shared" si="4"/>
        <v>332</v>
      </c>
      <c r="K87" s="11">
        <f t="shared" si="5"/>
        <v>0.83</v>
      </c>
      <c r="L87" s="9" t="str">
        <f t="shared" si="6"/>
        <v>PASS</v>
      </c>
      <c r="M87" s="9" t="str">
        <f t="shared" si="7"/>
        <v>ELIGIBLE</v>
      </c>
      <c r="N87" s="9" t="str" cm="1">
        <f t="array" ref="N87">_xlfn.IFS(I87&gt;=95%,"EXCELLENT",I87&gt;=85%,"VERY GOOD",I87&gt;=75%,"GOOD",I87&gt;=65%,"IMPROVEMENT",I87&gt;=40%,"POOR",I87&gt;=0%,"WORST")</f>
        <v>VERY GOOD</v>
      </c>
    </row>
    <row r="88" spans="1:14" ht="20.25" customHeight="1">
      <c r="A88" s="9" t="s">
        <v>186</v>
      </c>
      <c r="B88" s="9" t="s">
        <v>187</v>
      </c>
      <c r="C88" s="9" t="s">
        <v>11</v>
      </c>
      <c r="D88" s="9" t="s">
        <v>12</v>
      </c>
      <c r="E88" s="9">
        <v>46</v>
      </c>
      <c r="F88" s="9">
        <v>52</v>
      </c>
      <c r="G88" s="9">
        <v>48</v>
      </c>
      <c r="H88" s="9">
        <v>57</v>
      </c>
      <c r="I88" s="11">
        <v>0.73</v>
      </c>
      <c r="J88" s="9">
        <f t="shared" si="4"/>
        <v>203</v>
      </c>
      <c r="K88" s="11">
        <f t="shared" si="5"/>
        <v>0.50749999999999995</v>
      </c>
      <c r="L88" s="9" t="str">
        <f t="shared" si="6"/>
        <v>PASS</v>
      </c>
      <c r="M88" s="9" t="str">
        <f t="shared" si="7"/>
        <v>NOT ELIGIBLE</v>
      </c>
      <c r="N88" s="9" t="str" cm="1">
        <f t="array" ref="N88">_xlfn.IFS(I88&gt;=95%,"EXCELLENT",I88&gt;=85%,"VERY GOOD",I88&gt;=75%,"GOOD",I88&gt;=65%,"IMPROVEMENT",I88&gt;=40%,"POOR",I88&gt;=0%,"WORST")</f>
        <v>IMPROVEMENT</v>
      </c>
    </row>
    <row r="89" spans="1:14" ht="20.25" customHeight="1">
      <c r="A89" s="9" t="s">
        <v>188</v>
      </c>
      <c r="B89" s="9" t="s">
        <v>189</v>
      </c>
      <c r="C89" s="9" t="s">
        <v>21</v>
      </c>
      <c r="D89" s="9" t="s">
        <v>15</v>
      </c>
      <c r="E89" s="9">
        <v>87</v>
      </c>
      <c r="F89" s="9">
        <v>91</v>
      </c>
      <c r="G89" s="9">
        <v>89</v>
      </c>
      <c r="H89" s="9">
        <v>94</v>
      </c>
      <c r="I89" s="11">
        <v>0.97</v>
      </c>
      <c r="J89" s="9">
        <f t="shared" si="4"/>
        <v>361</v>
      </c>
      <c r="K89" s="11">
        <f t="shared" si="5"/>
        <v>0.90249999999999997</v>
      </c>
      <c r="L89" s="9" t="str">
        <f t="shared" si="6"/>
        <v>PASS</v>
      </c>
      <c r="M89" s="9" t="str">
        <f t="shared" si="7"/>
        <v>ELIGIBLE</v>
      </c>
      <c r="N89" s="9" t="str" cm="1">
        <f t="array" ref="N89">_xlfn.IFS(I89&gt;=95%,"EXCELLENT",I89&gt;=85%,"VERY GOOD",I89&gt;=75%,"GOOD",I89&gt;=65%,"IMPROVEMENT",I89&gt;=40%,"POOR",I89&gt;=0%,"WORST")</f>
        <v>EXCELLENT</v>
      </c>
    </row>
    <row r="90" spans="1:14" ht="20.25" customHeight="1">
      <c r="A90" s="9" t="s">
        <v>190</v>
      </c>
      <c r="B90" s="9" t="s">
        <v>191</v>
      </c>
      <c r="C90" s="9" t="s">
        <v>18</v>
      </c>
      <c r="D90" s="9" t="s">
        <v>12</v>
      </c>
      <c r="E90" s="9">
        <v>61</v>
      </c>
      <c r="F90" s="9">
        <v>66</v>
      </c>
      <c r="G90" s="9">
        <v>63</v>
      </c>
      <c r="H90" s="9">
        <v>71</v>
      </c>
      <c r="I90" s="11">
        <v>0.8</v>
      </c>
      <c r="J90" s="9">
        <f t="shared" si="4"/>
        <v>261</v>
      </c>
      <c r="K90" s="11">
        <f t="shared" si="5"/>
        <v>0.65249999999999997</v>
      </c>
      <c r="L90" s="9" t="str">
        <f t="shared" si="6"/>
        <v>PASS</v>
      </c>
      <c r="M90" s="9" t="str">
        <f t="shared" si="7"/>
        <v>ELIGIBLE</v>
      </c>
      <c r="N90" s="9" t="str" cm="1">
        <f t="array" ref="N90">_xlfn.IFS(I90&gt;=95%,"EXCELLENT",I90&gt;=85%,"VERY GOOD",I90&gt;=75%,"GOOD",I90&gt;=65%,"IMPROVEMENT",I90&gt;=40%,"POOR",I90&gt;=0%,"WORST")</f>
        <v>GOOD</v>
      </c>
    </row>
    <row r="91" spans="1:14" ht="20.25" customHeight="1">
      <c r="A91" s="9" t="s">
        <v>192</v>
      </c>
      <c r="B91" s="9" t="s">
        <v>193</v>
      </c>
      <c r="C91" s="9" t="s">
        <v>11</v>
      </c>
      <c r="D91" s="9" t="s">
        <v>15</v>
      </c>
      <c r="E91" s="9">
        <v>93</v>
      </c>
      <c r="F91" s="9">
        <v>95</v>
      </c>
      <c r="G91" s="9">
        <v>92</v>
      </c>
      <c r="H91" s="9">
        <v>97</v>
      </c>
      <c r="I91" s="11">
        <v>0.99</v>
      </c>
      <c r="J91" s="9">
        <f t="shared" si="4"/>
        <v>377</v>
      </c>
      <c r="K91" s="11">
        <f t="shared" si="5"/>
        <v>0.9425</v>
      </c>
      <c r="L91" s="9" t="str">
        <f t="shared" si="6"/>
        <v>PASS</v>
      </c>
      <c r="M91" s="9" t="str">
        <f t="shared" si="7"/>
        <v>ELIGIBLE</v>
      </c>
      <c r="N91" s="9" t="str" cm="1">
        <f t="array" ref="N91">_xlfn.IFS(I91&gt;=95%,"EXCELLENT",I91&gt;=85%,"VERY GOOD",I91&gt;=75%,"GOOD",I91&gt;=65%,"IMPROVEMENT",I91&gt;=40%,"POOR",I91&gt;=0%,"WORST")</f>
        <v>EXCELLENT</v>
      </c>
    </row>
    <row r="92" spans="1:14" ht="20.25" customHeight="1">
      <c r="A92" s="9" t="s">
        <v>194</v>
      </c>
      <c r="B92" s="9" t="s">
        <v>195</v>
      </c>
      <c r="C92" s="9" t="s">
        <v>21</v>
      </c>
      <c r="D92" s="9" t="s">
        <v>12</v>
      </c>
      <c r="E92" s="9">
        <v>56</v>
      </c>
      <c r="F92" s="9">
        <v>62</v>
      </c>
      <c r="G92" s="9">
        <v>58</v>
      </c>
      <c r="H92" s="9">
        <v>65</v>
      </c>
      <c r="I92" s="11">
        <v>0.77</v>
      </c>
      <c r="J92" s="9">
        <f t="shared" si="4"/>
        <v>241</v>
      </c>
      <c r="K92" s="11">
        <f t="shared" si="5"/>
        <v>0.60250000000000004</v>
      </c>
      <c r="L92" s="9" t="str">
        <f t="shared" si="6"/>
        <v>PASS</v>
      </c>
      <c r="M92" s="9" t="str">
        <f t="shared" si="7"/>
        <v>ELIGIBLE</v>
      </c>
      <c r="N92" s="9" t="str" cm="1">
        <f t="array" ref="N92">_xlfn.IFS(I92&gt;=95%,"EXCELLENT",I92&gt;=85%,"VERY GOOD",I92&gt;=75%,"GOOD",I92&gt;=65%,"IMPROVEMENT",I92&gt;=40%,"POOR",I92&gt;=0%,"WORST")</f>
        <v>GOOD</v>
      </c>
    </row>
    <row r="93" spans="1:14" ht="20.25" customHeight="1">
      <c r="A93" s="9" t="s">
        <v>196</v>
      </c>
      <c r="B93" s="9" t="s">
        <v>197</v>
      </c>
      <c r="C93" s="9" t="s">
        <v>18</v>
      </c>
      <c r="D93" s="9" t="s">
        <v>15</v>
      </c>
      <c r="E93" s="9">
        <v>82</v>
      </c>
      <c r="F93" s="9">
        <v>80</v>
      </c>
      <c r="G93" s="9">
        <v>85</v>
      </c>
      <c r="H93" s="9">
        <v>88</v>
      </c>
      <c r="I93" s="11">
        <v>0.94</v>
      </c>
      <c r="J93" s="9">
        <f t="shared" si="4"/>
        <v>335</v>
      </c>
      <c r="K93" s="11">
        <f t="shared" si="5"/>
        <v>0.83750000000000002</v>
      </c>
      <c r="L93" s="9" t="str">
        <f t="shared" si="6"/>
        <v>PASS</v>
      </c>
      <c r="M93" s="9" t="str">
        <f t="shared" si="7"/>
        <v>ELIGIBLE</v>
      </c>
      <c r="N93" s="9" t="str" cm="1">
        <f t="array" ref="N93">_xlfn.IFS(I93&gt;=95%,"EXCELLENT",I93&gt;=85%,"VERY GOOD",I93&gt;=75%,"GOOD",I93&gt;=65%,"IMPROVEMENT",I93&gt;=40%,"POOR",I93&gt;=0%,"WORST")</f>
        <v>VERY GOOD</v>
      </c>
    </row>
    <row r="94" spans="1:14" ht="20.25" customHeight="1">
      <c r="A94" s="9" t="s">
        <v>198</v>
      </c>
      <c r="B94" s="9" t="s">
        <v>199</v>
      </c>
      <c r="C94" s="9" t="s">
        <v>11</v>
      </c>
      <c r="D94" s="9" t="s">
        <v>12</v>
      </c>
      <c r="E94" s="9">
        <v>69</v>
      </c>
      <c r="F94" s="9">
        <v>73</v>
      </c>
      <c r="G94" s="9">
        <v>67</v>
      </c>
      <c r="H94" s="9">
        <v>76</v>
      </c>
      <c r="I94" s="11">
        <v>0.84</v>
      </c>
      <c r="J94" s="9">
        <f t="shared" si="4"/>
        <v>285</v>
      </c>
      <c r="K94" s="11">
        <f t="shared" si="5"/>
        <v>0.71250000000000002</v>
      </c>
      <c r="L94" s="9" t="str">
        <f t="shared" si="6"/>
        <v>PASS</v>
      </c>
      <c r="M94" s="9" t="str">
        <f t="shared" si="7"/>
        <v>ELIGIBLE</v>
      </c>
      <c r="N94" s="9" t="str" cm="1">
        <f t="array" ref="N94">_xlfn.IFS(I94&gt;=95%,"EXCELLENT",I94&gt;=85%,"VERY GOOD",I94&gt;=75%,"GOOD",I94&gt;=65%,"IMPROVEMENT",I94&gt;=40%,"POOR",I94&gt;=0%,"WORST")</f>
        <v>GOOD</v>
      </c>
    </row>
    <row r="95" spans="1:14" ht="20.25" customHeight="1">
      <c r="A95" s="9" t="s">
        <v>200</v>
      </c>
      <c r="B95" s="9" t="s">
        <v>201</v>
      </c>
      <c r="C95" s="9" t="s">
        <v>21</v>
      </c>
      <c r="D95" s="9" t="s">
        <v>15</v>
      </c>
      <c r="E95" s="9">
        <v>91</v>
      </c>
      <c r="F95" s="9">
        <v>89</v>
      </c>
      <c r="G95" s="9">
        <v>94</v>
      </c>
      <c r="H95" s="9">
        <v>96</v>
      </c>
      <c r="I95" s="11">
        <v>0.98</v>
      </c>
      <c r="J95" s="9">
        <f t="shared" si="4"/>
        <v>370</v>
      </c>
      <c r="K95" s="11">
        <f t="shared" si="5"/>
        <v>0.92500000000000004</v>
      </c>
      <c r="L95" s="9" t="str">
        <f t="shared" si="6"/>
        <v>PASS</v>
      </c>
      <c r="M95" s="9" t="str">
        <f t="shared" si="7"/>
        <v>ELIGIBLE</v>
      </c>
      <c r="N95" s="9" t="str" cm="1">
        <f t="array" ref="N95">_xlfn.IFS(I95&gt;=95%,"EXCELLENT",I95&gt;=85%,"VERY GOOD",I95&gt;=75%,"GOOD",I95&gt;=65%,"IMPROVEMENT",I95&gt;=40%,"POOR",I95&gt;=0%,"WORST")</f>
        <v>EXCELLENT</v>
      </c>
    </row>
    <row r="96" spans="1:14" ht="20.25" customHeight="1">
      <c r="A96" s="9" t="s">
        <v>202</v>
      </c>
      <c r="B96" s="9" t="s">
        <v>203</v>
      </c>
      <c r="C96" s="9" t="s">
        <v>18</v>
      </c>
      <c r="D96" s="9" t="s">
        <v>12</v>
      </c>
      <c r="E96" s="9">
        <v>37</v>
      </c>
      <c r="F96" s="9">
        <v>44</v>
      </c>
      <c r="G96" s="9">
        <v>41</v>
      </c>
      <c r="H96" s="9">
        <v>50</v>
      </c>
      <c r="I96" s="11">
        <v>0.67</v>
      </c>
      <c r="J96" s="9">
        <f t="shared" si="4"/>
        <v>172</v>
      </c>
      <c r="K96" s="11">
        <f t="shared" si="5"/>
        <v>0.43</v>
      </c>
      <c r="L96" s="9" t="str">
        <f t="shared" si="6"/>
        <v>FAIL</v>
      </c>
      <c r="M96" s="9" t="str">
        <f t="shared" si="7"/>
        <v>NOT ELIGIBLE</v>
      </c>
      <c r="N96" s="9" t="str" cm="1">
        <f t="array" ref="N96">_xlfn.IFS(I96&gt;=95%,"EXCELLENT",I96&gt;=85%,"VERY GOOD",I96&gt;=75%,"GOOD",I96&gt;=65%,"IMPROVEMENT",I96&gt;=40%,"POOR",I96&gt;=0%,"WORST")</f>
        <v>IMPROVEMENT</v>
      </c>
    </row>
    <row r="97" spans="1:14" ht="20.25" customHeight="1">
      <c r="A97" s="9" t="s">
        <v>204</v>
      </c>
      <c r="B97" s="9" t="s">
        <v>205</v>
      </c>
      <c r="C97" s="9" t="s">
        <v>11</v>
      </c>
      <c r="D97" s="9" t="s">
        <v>15</v>
      </c>
      <c r="E97" s="9">
        <v>76</v>
      </c>
      <c r="F97" s="9">
        <v>83</v>
      </c>
      <c r="G97" s="9">
        <v>78</v>
      </c>
      <c r="H97" s="9">
        <v>85</v>
      </c>
      <c r="I97" s="11">
        <v>0.91</v>
      </c>
      <c r="J97" s="9">
        <f t="shared" si="4"/>
        <v>322</v>
      </c>
      <c r="K97" s="11">
        <f t="shared" si="5"/>
        <v>0.80500000000000005</v>
      </c>
      <c r="L97" s="9" t="str">
        <f t="shared" si="6"/>
        <v>PASS</v>
      </c>
      <c r="M97" s="9" t="str">
        <f t="shared" si="7"/>
        <v>ELIGIBLE</v>
      </c>
      <c r="N97" s="9" t="str" cm="1">
        <f t="array" ref="N97">_xlfn.IFS(I97&gt;=95%,"EXCELLENT",I97&gt;=85%,"VERY GOOD",I97&gt;=75%,"GOOD",I97&gt;=65%,"IMPROVEMENT",I97&gt;=40%,"POOR",I97&gt;=0%,"WORST")</f>
        <v>VERY GOOD</v>
      </c>
    </row>
    <row r="98" spans="1:14" ht="20.25" customHeight="1">
      <c r="A98" s="9" t="s">
        <v>206</v>
      </c>
      <c r="B98" s="9" t="s">
        <v>207</v>
      </c>
      <c r="C98" s="9" t="s">
        <v>21</v>
      </c>
      <c r="D98" s="9" t="s">
        <v>12</v>
      </c>
      <c r="E98" s="9">
        <v>88</v>
      </c>
      <c r="F98" s="9">
        <v>86</v>
      </c>
      <c r="G98" s="9">
        <v>90</v>
      </c>
      <c r="H98" s="9">
        <v>92</v>
      </c>
      <c r="I98" s="11">
        <v>0.96</v>
      </c>
      <c r="J98" s="9">
        <f t="shared" si="4"/>
        <v>356</v>
      </c>
      <c r="K98" s="11">
        <f t="shared" si="5"/>
        <v>0.89</v>
      </c>
      <c r="L98" s="9" t="str">
        <f t="shared" si="6"/>
        <v>PASS</v>
      </c>
      <c r="M98" s="9" t="str">
        <f t="shared" si="7"/>
        <v>ELIGIBLE</v>
      </c>
      <c r="N98" s="9" t="str" cm="1">
        <f t="array" ref="N98">_xlfn.IFS(I98&gt;=95%,"EXCELLENT",I98&gt;=85%,"VERY GOOD",I98&gt;=75%,"GOOD",I98&gt;=65%,"IMPROVEMENT",I98&gt;=40%,"POOR",I98&gt;=0%,"WORST")</f>
        <v>EXCELLENT</v>
      </c>
    </row>
    <row r="99" spans="1:14" ht="20.25" customHeight="1">
      <c r="A99" s="9" t="s">
        <v>208</v>
      </c>
      <c r="B99" s="9" t="s">
        <v>209</v>
      </c>
      <c r="C99" s="9" t="s">
        <v>18</v>
      </c>
      <c r="D99" s="9" t="s">
        <v>15</v>
      </c>
      <c r="E99" s="9">
        <v>63</v>
      </c>
      <c r="F99" s="9">
        <v>70</v>
      </c>
      <c r="G99" s="9">
        <v>65</v>
      </c>
      <c r="H99" s="9">
        <v>73</v>
      </c>
      <c r="I99" s="11">
        <v>0.83</v>
      </c>
      <c r="J99" s="9">
        <f t="shared" si="4"/>
        <v>271</v>
      </c>
      <c r="K99" s="11">
        <f t="shared" si="5"/>
        <v>0.67749999999999999</v>
      </c>
      <c r="L99" s="9" t="str">
        <f t="shared" si="6"/>
        <v>PASS</v>
      </c>
      <c r="M99" s="9" t="str">
        <f t="shared" si="7"/>
        <v>ELIGIBLE</v>
      </c>
      <c r="N99" s="9" t="str" cm="1">
        <f t="array" ref="N99">_xlfn.IFS(I99&gt;=95%,"EXCELLENT",I99&gt;=85%,"VERY GOOD",I99&gt;=75%,"GOOD",I99&gt;=65%,"IMPROVEMENT",I99&gt;=40%,"POOR",I99&gt;=0%,"WORST")</f>
        <v>GOOD</v>
      </c>
    </row>
    <row r="100" spans="1:14" ht="20.25" customHeight="1">
      <c r="A100" s="9" t="s">
        <v>210</v>
      </c>
      <c r="B100" s="9" t="s">
        <v>211</v>
      </c>
      <c r="C100" s="9" t="s">
        <v>11</v>
      </c>
      <c r="D100" s="9" t="s">
        <v>12</v>
      </c>
      <c r="E100" s="9">
        <v>80</v>
      </c>
      <c r="F100" s="9">
        <v>78</v>
      </c>
      <c r="G100" s="9">
        <v>84</v>
      </c>
      <c r="H100" s="9">
        <v>87</v>
      </c>
      <c r="I100" s="11">
        <v>0.9</v>
      </c>
      <c r="J100" s="9">
        <f t="shared" si="4"/>
        <v>329</v>
      </c>
      <c r="K100" s="11">
        <f t="shared" si="5"/>
        <v>0.82250000000000001</v>
      </c>
      <c r="L100" s="9" t="str">
        <f t="shared" si="6"/>
        <v>PASS</v>
      </c>
      <c r="M100" s="9" t="str">
        <f t="shared" si="7"/>
        <v>ELIGIBLE</v>
      </c>
      <c r="N100" s="9" t="str" cm="1">
        <f t="array" ref="N100">_xlfn.IFS(I100&gt;=95%,"EXCELLENT",I100&gt;=85%,"VERY GOOD",I100&gt;=75%,"GOOD",I100&gt;=65%,"IMPROVEMENT",I100&gt;=40%,"POOR",I100&gt;=0%,"WORST")</f>
        <v>VERY GOOD</v>
      </c>
    </row>
    <row r="101" spans="1:14" ht="20.25" customHeight="1">
      <c r="A101" s="9" t="s">
        <v>212</v>
      </c>
      <c r="B101" s="9" t="s">
        <v>213</v>
      </c>
      <c r="C101" s="9" t="s">
        <v>21</v>
      </c>
      <c r="D101" s="9" t="s">
        <v>15</v>
      </c>
      <c r="E101" s="9">
        <v>94</v>
      </c>
      <c r="F101" s="9">
        <v>92</v>
      </c>
      <c r="G101" s="9">
        <v>96</v>
      </c>
      <c r="H101" s="9">
        <v>98</v>
      </c>
      <c r="I101" s="11">
        <v>0.99</v>
      </c>
      <c r="J101" s="9">
        <f t="shared" si="4"/>
        <v>380</v>
      </c>
      <c r="K101" s="11">
        <f t="shared" si="5"/>
        <v>0.95</v>
      </c>
      <c r="L101" s="9" t="str">
        <f t="shared" si="6"/>
        <v>PASS</v>
      </c>
      <c r="M101" s="9" t="str">
        <f t="shared" si="7"/>
        <v>ELIGIBLE</v>
      </c>
      <c r="N101" s="9" t="str" cm="1">
        <f t="array" ref="N101">_xlfn.IFS(I101&gt;=95%,"EXCELLENT",I101&gt;=85%,"VERY GOOD",I101&gt;=75%,"GOOD",I101&gt;=65%,"IMPROVEMENT",I101&gt;=40%,"POOR",I101&gt;=0%,"WORST")</f>
        <v>EXCELLENT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322A0-BCA7-48ED-93D8-C123F45CC957}">
  <dimension ref="A1:K103"/>
  <sheetViews>
    <sheetView topLeftCell="D108" workbookViewId="0">
      <selection activeCell="H91" sqref="H91"/>
    </sheetView>
  </sheetViews>
  <sheetFormatPr defaultRowHeight="15"/>
  <cols>
    <col min="1" max="7" width="28.7109375" style="12" customWidth="1"/>
    <col min="8" max="10" width="28.7109375" style="13" customWidth="1"/>
    <col min="11" max="12" width="23.7109375" style="14" customWidth="1"/>
    <col min="13" max="16384" width="9.140625" style="14"/>
  </cols>
  <sheetData>
    <row r="1" spans="1:11" customFormat="1" ht="30.75" customHeight="1">
      <c r="A1" s="4" t="s">
        <v>0</v>
      </c>
      <c r="B1" s="4" t="s">
        <v>1</v>
      </c>
      <c r="C1" s="4" t="s">
        <v>2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214</v>
      </c>
      <c r="I1" s="4" t="s">
        <v>216</v>
      </c>
      <c r="J1" s="4" t="s">
        <v>219</v>
      </c>
      <c r="K1" s="3" t="s">
        <v>222</v>
      </c>
    </row>
    <row r="2" spans="1:11" customFormat="1" ht="20.25" customHeight="1">
      <c r="A2" s="9" t="s">
        <v>9</v>
      </c>
      <c r="B2" s="9" t="s">
        <v>10</v>
      </c>
      <c r="C2" s="9" t="s">
        <v>11</v>
      </c>
      <c r="D2" s="9">
        <v>78</v>
      </c>
      <c r="E2" s="9">
        <v>85</v>
      </c>
      <c r="F2" s="9">
        <v>72</v>
      </c>
      <c r="G2" s="9">
        <v>90</v>
      </c>
      <c r="H2" s="9">
        <f>SUM(D2:G2)</f>
        <v>325</v>
      </c>
      <c r="I2" s="11">
        <f>H2/400</f>
        <v>0.8125</v>
      </c>
      <c r="J2" s="9" t="str">
        <f>IF(MIN(D2:G2)&gt;=40,"PASS","FAIL")</f>
        <v>PASS</v>
      </c>
      <c r="K2" s="9" t="str" cm="1">
        <f t="array" ref="K2">_xlfn.IFS(I2&gt;=95%,"A+",I2&gt;=85%,"A",I2&gt;=75%,"B",I2&gt;=65%,"C",I2&gt;=40%,"D",I2&gt;=0%,"F")</f>
        <v>B</v>
      </c>
    </row>
    <row r="3" spans="1:11" customFormat="1" ht="20.25" customHeight="1">
      <c r="A3" s="9" t="s">
        <v>13</v>
      </c>
      <c r="B3" s="9" t="s">
        <v>14</v>
      </c>
      <c r="C3" s="9" t="s">
        <v>11</v>
      </c>
      <c r="D3" s="9">
        <v>65</v>
      </c>
      <c r="E3" s="9">
        <v>71</v>
      </c>
      <c r="F3" s="9">
        <v>68</v>
      </c>
      <c r="G3" s="9">
        <v>75</v>
      </c>
      <c r="H3" s="9">
        <f t="shared" ref="H3:H66" si="0">SUM(D3:G3)</f>
        <v>279</v>
      </c>
      <c r="I3" s="11">
        <f t="shared" ref="I3:I66" si="1">H3/400</f>
        <v>0.69750000000000001</v>
      </c>
      <c r="J3" s="9" t="str">
        <f t="shared" ref="J3:J66" si="2">IF(MIN(D3:G3)&gt;=40,"PASS","FAIL")</f>
        <v>PASS</v>
      </c>
      <c r="K3" s="9" t="str" cm="1">
        <f t="array" ref="K3">_xlfn.IFS(I3&gt;=95%,"A+",I3&gt;=85%,"A",I3&gt;=75%,"B",I3&gt;=65%,"C",I3&gt;=40%,"D",I3&gt;=0%,"F")</f>
        <v>C</v>
      </c>
    </row>
    <row r="4" spans="1:11" customFormat="1" ht="20.25" customHeight="1">
      <c r="A4" s="9" t="s">
        <v>16</v>
      </c>
      <c r="B4" s="9" t="s">
        <v>17</v>
      </c>
      <c r="C4" s="9" t="s">
        <v>18</v>
      </c>
      <c r="D4" s="9">
        <v>42</v>
      </c>
      <c r="E4" s="9">
        <v>55</v>
      </c>
      <c r="F4" s="9">
        <v>48</v>
      </c>
      <c r="G4" s="9">
        <v>61</v>
      </c>
      <c r="H4" s="9">
        <f t="shared" si="0"/>
        <v>206</v>
      </c>
      <c r="I4" s="11">
        <f t="shared" si="1"/>
        <v>0.51500000000000001</v>
      </c>
      <c r="J4" s="9" t="str">
        <f t="shared" si="2"/>
        <v>PASS</v>
      </c>
      <c r="K4" s="9" t="str" cm="1">
        <f t="array" ref="K4">_xlfn.IFS(I4&gt;=95%,"A+",I4&gt;=85%,"A",I4&gt;=75%,"B",I4&gt;=65%,"C",I4&gt;=40%,"D",I4&gt;=0%,"F")</f>
        <v>D</v>
      </c>
    </row>
    <row r="5" spans="1:11" customFormat="1" ht="20.25" customHeight="1">
      <c r="A5" s="9" t="s">
        <v>19</v>
      </c>
      <c r="B5" s="9" t="s">
        <v>20</v>
      </c>
      <c r="C5" s="9" t="s">
        <v>21</v>
      </c>
      <c r="D5" s="9">
        <v>91</v>
      </c>
      <c r="E5" s="9">
        <v>88</v>
      </c>
      <c r="F5" s="9">
        <v>94</v>
      </c>
      <c r="G5" s="9">
        <v>96</v>
      </c>
      <c r="H5" s="9">
        <f t="shared" si="0"/>
        <v>369</v>
      </c>
      <c r="I5" s="11">
        <f t="shared" si="1"/>
        <v>0.92249999999999999</v>
      </c>
      <c r="J5" s="9" t="str">
        <f t="shared" si="2"/>
        <v>PASS</v>
      </c>
      <c r="K5" s="9" t="str" cm="1">
        <f t="array" ref="K5">_xlfn.IFS(I5&gt;=95%,"A+",I5&gt;=85%,"A",I5&gt;=75%,"B",I5&gt;=65%,"C",I5&gt;=40%,"D",I5&gt;=0%,"F")</f>
        <v>A</v>
      </c>
    </row>
    <row r="6" spans="1:11" customFormat="1" ht="20.25" customHeight="1">
      <c r="A6" s="9" t="s">
        <v>22</v>
      </c>
      <c r="B6" s="9" t="s">
        <v>23</v>
      </c>
      <c r="C6" s="9" t="s">
        <v>18</v>
      </c>
      <c r="D6" s="9">
        <v>56</v>
      </c>
      <c r="E6" s="9">
        <v>63</v>
      </c>
      <c r="F6" s="9">
        <v>59</v>
      </c>
      <c r="G6" s="9">
        <v>70</v>
      </c>
      <c r="H6" s="9">
        <f t="shared" si="0"/>
        <v>248</v>
      </c>
      <c r="I6" s="11">
        <f t="shared" si="1"/>
        <v>0.62</v>
      </c>
      <c r="J6" s="9" t="str">
        <f t="shared" si="2"/>
        <v>PASS</v>
      </c>
      <c r="K6" s="9" t="str" cm="1">
        <f t="array" ref="K6">_xlfn.IFS(I6&gt;=95%,"A+",I6&gt;=85%,"A",I6&gt;=75%,"B",I6&gt;=65%,"C",I6&gt;=40%,"D",I6&gt;=0%,"F")</f>
        <v>D</v>
      </c>
    </row>
    <row r="7" spans="1:11" customFormat="1" ht="20.25" customHeight="1">
      <c r="A7" s="9" t="s">
        <v>24</v>
      </c>
      <c r="B7" s="9" t="s">
        <v>25</v>
      </c>
      <c r="C7" s="9" t="s">
        <v>11</v>
      </c>
      <c r="D7" s="9">
        <v>84</v>
      </c>
      <c r="E7" s="9">
        <v>79</v>
      </c>
      <c r="F7" s="9">
        <v>88</v>
      </c>
      <c r="G7" s="9">
        <v>91</v>
      </c>
      <c r="H7" s="9">
        <f t="shared" si="0"/>
        <v>342</v>
      </c>
      <c r="I7" s="11">
        <f t="shared" si="1"/>
        <v>0.85499999999999998</v>
      </c>
      <c r="J7" s="9" t="str">
        <f t="shared" si="2"/>
        <v>PASS</v>
      </c>
      <c r="K7" s="9" t="str" cm="1">
        <f t="array" ref="K7">_xlfn.IFS(I7&gt;=95%,"A+",I7&gt;=85%,"A",I7&gt;=75%,"B",I7&gt;=65%,"C",I7&gt;=40%,"D",I7&gt;=0%,"F")</f>
        <v>A</v>
      </c>
    </row>
    <row r="8" spans="1:11" customFormat="1" ht="20.25" customHeight="1">
      <c r="A8" s="9" t="s">
        <v>26</v>
      </c>
      <c r="B8" s="9" t="s">
        <v>27</v>
      </c>
      <c r="C8" s="9" t="s">
        <v>21</v>
      </c>
      <c r="D8" s="9">
        <v>38</v>
      </c>
      <c r="E8" s="9">
        <v>45</v>
      </c>
      <c r="F8" s="9">
        <v>41</v>
      </c>
      <c r="G8" s="9">
        <v>52</v>
      </c>
      <c r="H8" s="9">
        <f t="shared" si="0"/>
        <v>176</v>
      </c>
      <c r="I8" s="11">
        <f t="shared" si="1"/>
        <v>0.44</v>
      </c>
      <c r="J8" s="9" t="str">
        <f t="shared" si="2"/>
        <v>FAIL</v>
      </c>
      <c r="K8" s="9" t="str" cm="1">
        <f t="array" ref="K8">_xlfn.IFS(I8&gt;=95%,"A+",I8&gt;=85%,"A",I8&gt;=75%,"B",I8&gt;=65%,"C",I8&gt;=40%,"D",I8&gt;=0%,"F")</f>
        <v>D</v>
      </c>
    </row>
    <row r="9" spans="1:11" customFormat="1" ht="20.25" customHeight="1">
      <c r="A9" s="9" t="s">
        <v>28</v>
      </c>
      <c r="B9" s="9" t="s">
        <v>29</v>
      </c>
      <c r="C9" s="9" t="s">
        <v>18</v>
      </c>
      <c r="D9" s="9">
        <v>73</v>
      </c>
      <c r="E9" s="9">
        <v>68</v>
      </c>
      <c r="F9" s="9">
        <v>76</v>
      </c>
      <c r="G9" s="9">
        <v>82</v>
      </c>
      <c r="H9" s="9">
        <f t="shared" si="0"/>
        <v>299</v>
      </c>
      <c r="I9" s="11">
        <f t="shared" si="1"/>
        <v>0.74750000000000005</v>
      </c>
      <c r="J9" s="9" t="str">
        <f t="shared" si="2"/>
        <v>PASS</v>
      </c>
      <c r="K9" s="9" t="str" cm="1">
        <f t="array" ref="K9">_xlfn.IFS(I9&gt;=95%,"A+",I9&gt;=85%,"A",I9&gt;=75%,"B",I9&gt;=65%,"C",I9&gt;=40%,"D",I9&gt;=0%,"F")</f>
        <v>C</v>
      </c>
    </row>
    <row r="10" spans="1:11" customFormat="1" ht="20.25" customHeight="1">
      <c r="A10" s="9" t="s">
        <v>30</v>
      </c>
      <c r="B10" s="9" t="s">
        <v>31</v>
      </c>
      <c r="C10" s="9" t="s">
        <v>11</v>
      </c>
      <c r="D10" s="9">
        <v>95</v>
      </c>
      <c r="E10" s="9">
        <v>92</v>
      </c>
      <c r="F10" s="9">
        <v>89</v>
      </c>
      <c r="G10" s="9">
        <v>97</v>
      </c>
      <c r="H10" s="9">
        <f t="shared" si="0"/>
        <v>373</v>
      </c>
      <c r="I10" s="11">
        <f t="shared" si="1"/>
        <v>0.9325</v>
      </c>
      <c r="J10" s="9" t="str">
        <f t="shared" si="2"/>
        <v>PASS</v>
      </c>
      <c r="K10" s="9" t="str" cm="1">
        <f t="array" ref="K10">_xlfn.IFS(I10&gt;=95%,"A+",I10&gt;=85%,"A",I10&gt;=75%,"B",I10&gt;=65%,"C",I10&gt;=40%,"D",I10&gt;=0%,"F")</f>
        <v>A</v>
      </c>
    </row>
    <row r="11" spans="1:11" customFormat="1" ht="20.25" customHeight="1">
      <c r="A11" s="9" t="s">
        <v>32</v>
      </c>
      <c r="B11" s="9" t="s">
        <v>33</v>
      </c>
      <c r="C11" s="9" t="s">
        <v>21</v>
      </c>
      <c r="D11" s="9">
        <v>61</v>
      </c>
      <c r="E11" s="9">
        <v>57</v>
      </c>
      <c r="F11" s="9">
        <v>64</v>
      </c>
      <c r="G11" s="9">
        <v>69</v>
      </c>
      <c r="H11" s="9">
        <f t="shared" si="0"/>
        <v>251</v>
      </c>
      <c r="I11" s="11">
        <f t="shared" si="1"/>
        <v>0.62749999999999995</v>
      </c>
      <c r="J11" s="9" t="str">
        <f t="shared" si="2"/>
        <v>PASS</v>
      </c>
      <c r="K11" s="9" t="str" cm="1">
        <f t="array" ref="K11">_xlfn.IFS(I11&gt;=95%,"A+",I11&gt;=85%,"A",I11&gt;=75%,"B",I11&gt;=65%,"C",I11&gt;=40%,"D",I11&gt;=0%,"F")</f>
        <v>D</v>
      </c>
    </row>
    <row r="12" spans="1:11" customFormat="1" ht="20.25" customHeight="1">
      <c r="A12" s="9" t="s">
        <v>34</v>
      </c>
      <c r="B12" s="9" t="s">
        <v>35</v>
      </c>
      <c r="C12" s="9" t="s">
        <v>18</v>
      </c>
      <c r="D12" s="9">
        <v>82</v>
      </c>
      <c r="E12" s="9">
        <v>86</v>
      </c>
      <c r="F12" s="9">
        <v>79</v>
      </c>
      <c r="G12" s="9">
        <v>88</v>
      </c>
      <c r="H12" s="9">
        <f t="shared" si="0"/>
        <v>335</v>
      </c>
      <c r="I12" s="11">
        <f t="shared" si="1"/>
        <v>0.83750000000000002</v>
      </c>
      <c r="J12" s="9" t="str">
        <f t="shared" si="2"/>
        <v>PASS</v>
      </c>
      <c r="K12" s="9" t="str" cm="1">
        <f t="array" ref="K12">_xlfn.IFS(I12&gt;=95%,"A+",I12&gt;=85%,"A",I12&gt;=75%,"B",I12&gt;=65%,"C",I12&gt;=40%,"D",I12&gt;=0%,"F")</f>
        <v>B</v>
      </c>
    </row>
    <row r="13" spans="1:11" customFormat="1" ht="20.25" customHeight="1">
      <c r="A13" s="9" t="s">
        <v>36</v>
      </c>
      <c r="B13" s="9" t="s">
        <v>37</v>
      </c>
      <c r="C13" s="9" t="s">
        <v>11</v>
      </c>
      <c r="D13" s="9">
        <v>88</v>
      </c>
      <c r="E13" s="9">
        <v>91</v>
      </c>
      <c r="F13" s="9">
        <v>85</v>
      </c>
      <c r="G13" s="9">
        <v>94</v>
      </c>
      <c r="H13" s="9">
        <f t="shared" si="0"/>
        <v>358</v>
      </c>
      <c r="I13" s="11">
        <f t="shared" si="1"/>
        <v>0.89500000000000002</v>
      </c>
      <c r="J13" s="9" t="str">
        <f t="shared" si="2"/>
        <v>PASS</v>
      </c>
      <c r="K13" s="9" t="str" cm="1">
        <f t="array" ref="K13">_xlfn.IFS(I13&gt;=95%,"A+",I13&gt;=85%,"A",I13&gt;=75%,"B",I13&gt;=65%,"C",I13&gt;=40%,"D",I13&gt;=0%,"F")</f>
        <v>A</v>
      </c>
    </row>
    <row r="14" spans="1:11" customFormat="1" ht="20.25" customHeight="1">
      <c r="A14" s="9" t="s">
        <v>38</v>
      </c>
      <c r="B14" s="9" t="s">
        <v>39</v>
      </c>
      <c r="C14" s="9" t="s">
        <v>21</v>
      </c>
      <c r="D14" s="9">
        <v>47</v>
      </c>
      <c r="E14" s="9">
        <v>52</v>
      </c>
      <c r="F14" s="9">
        <v>44</v>
      </c>
      <c r="G14" s="9">
        <v>58</v>
      </c>
      <c r="H14" s="9">
        <f t="shared" si="0"/>
        <v>201</v>
      </c>
      <c r="I14" s="11">
        <f t="shared" si="1"/>
        <v>0.50249999999999995</v>
      </c>
      <c r="J14" s="9" t="str">
        <f t="shared" si="2"/>
        <v>PASS</v>
      </c>
      <c r="K14" s="9" t="str" cm="1">
        <f t="array" ref="K14">_xlfn.IFS(I14&gt;=95%,"A+",I14&gt;=85%,"A",I14&gt;=75%,"B",I14&gt;=65%,"C",I14&gt;=40%,"D",I14&gt;=0%,"F")</f>
        <v>D</v>
      </c>
    </row>
    <row r="15" spans="1:11" customFormat="1" ht="20.25" customHeight="1">
      <c r="A15" s="9" t="s">
        <v>40</v>
      </c>
      <c r="B15" s="9" t="s">
        <v>41</v>
      </c>
      <c r="C15" s="9" t="s">
        <v>18</v>
      </c>
      <c r="D15" s="9">
        <v>76</v>
      </c>
      <c r="E15" s="9">
        <v>81</v>
      </c>
      <c r="F15" s="9">
        <v>73</v>
      </c>
      <c r="G15" s="9">
        <v>79</v>
      </c>
      <c r="H15" s="9">
        <f t="shared" si="0"/>
        <v>309</v>
      </c>
      <c r="I15" s="11">
        <f t="shared" si="1"/>
        <v>0.77249999999999996</v>
      </c>
      <c r="J15" s="9" t="str">
        <f t="shared" si="2"/>
        <v>PASS</v>
      </c>
      <c r="K15" s="9" t="str" cm="1">
        <f t="array" ref="K15">_xlfn.IFS(I15&gt;=95%,"A+",I15&gt;=85%,"A",I15&gt;=75%,"B",I15&gt;=65%,"C",I15&gt;=40%,"D",I15&gt;=0%,"F")</f>
        <v>B</v>
      </c>
    </row>
    <row r="16" spans="1:11" customFormat="1" ht="20.25" customHeight="1">
      <c r="A16" s="9" t="s">
        <v>42</v>
      </c>
      <c r="B16" s="9" t="s">
        <v>43</v>
      </c>
      <c r="C16" s="9" t="s">
        <v>11</v>
      </c>
      <c r="D16" s="9">
        <v>69</v>
      </c>
      <c r="E16" s="9">
        <v>74</v>
      </c>
      <c r="F16" s="9">
        <v>67</v>
      </c>
      <c r="G16" s="9">
        <v>72</v>
      </c>
      <c r="H16" s="9">
        <f t="shared" si="0"/>
        <v>282</v>
      </c>
      <c r="I16" s="11">
        <f t="shared" si="1"/>
        <v>0.70499999999999996</v>
      </c>
      <c r="J16" s="9" t="str">
        <f t="shared" si="2"/>
        <v>PASS</v>
      </c>
      <c r="K16" s="9" t="str" cm="1">
        <f t="array" ref="K16">_xlfn.IFS(I16&gt;=95%,"A+",I16&gt;=85%,"A",I16&gt;=75%,"B",I16&gt;=65%,"C",I16&gt;=40%,"D",I16&gt;=0%,"F")</f>
        <v>C</v>
      </c>
    </row>
    <row r="17" spans="1:11" customFormat="1" ht="20.25" customHeight="1">
      <c r="A17" s="9" t="s">
        <v>44</v>
      </c>
      <c r="B17" s="9" t="s">
        <v>45</v>
      </c>
      <c r="C17" s="9" t="s">
        <v>21</v>
      </c>
      <c r="D17" s="9">
        <v>93</v>
      </c>
      <c r="E17" s="9">
        <v>89</v>
      </c>
      <c r="F17" s="9">
        <v>96</v>
      </c>
      <c r="G17" s="9">
        <v>91</v>
      </c>
      <c r="H17" s="9">
        <f t="shared" si="0"/>
        <v>369</v>
      </c>
      <c r="I17" s="11">
        <f t="shared" si="1"/>
        <v>0.92249999999999999</v>
      </c>
      <c r="J17" s="9" t="str">
        <f t="shared" si="2"/>
        <v>PASS</v>
      </c>
      <c r="K17" s="9" t="str" cm="1">
        <f t="array" ref="K17">_xlfn.IFS(I17&gt;=95%,"A+",I17&gt;=85%,"A",I17&gt;=75%,"B",I17&gt;=65%,"C",I17&gt;=40%,"D",I17&gt;=0%,"F")</f>
        <v>A</v>
      </c>
    </row>
    <row r="18" spans="1:11" customFormat="1" ht="20.25" customHeight="1">
      <c r="A18" s="9" t="s">
        <v>46</v>
      </c>
      <c r="B18" s="9" t="s">
        <v>47</v>
      </c>
      <c r="C18" s="9" t="s">
        <v>18</v>
      </c>
      <c r="D18" s="9">
        <v>54</v>
      </c>
      <c r="E18" s="9">
        <v>49</v>
      </c>
      <c r="F18" s="9">
        <v>57</v>
      </c>
      <c r="G18" s="9">
        <v>63</v>
      </c>
      <c r="H18" s="9">
        <f t="shared" si="0"/>
        <v>223</v>
      </c>
      <c r="I18" s="11">
        <f t="shared" si="1"/>
        <v>0.5575</v>
      </c>
      <c r="J18" s="9" t="str">
        <f t="shared" si="2"/>
        <v>PASS</v>
      </c>
      <c r="K18" s="9" t="str" cm="1">
        <f t="array" ref="K18">_xlfn.IFS(I18&gt;=95%,"A+",I18&gt;=85%,"A",I18&gt;=75%,"B",I18&gt;=65%,"C",I18&gt;=40%,"D",I18&gt;=0%,"F")</f>
        <v>D</v>
      </c>
    </row>
    <row r="19" spans="1:11" customFormat="1" ht="20.25" customHeight="1">
      <c r="A19" s="9" t="s">
        <v>48</v>
      </c>
      <c r="B19" s="9" t="s">
        <v>49</v>
      </c>
      <c r="C19" s="9" t="s">
        <v>11</v>
      </c>
      <c r="D19" s="9">
        <v>81</v>
      </c>
      <c r="E19" s="9">
        <v>77</v>
      </c>
      <c r="F19" s="9">
        <v>84</v>
      </c>
      <c r="G19" s="9">
        <v>86</v>
      </c>
      <c r="H19" s="9">
        <f t="shared" si="0"/>
        <v>328</v>
      </c>
      <c r="I19" s="11">
        <f t="shared" si="1"/>
        <v>0.82</v>
      </c>
      <c r="J19" s="9" t="str">
        <f t="shared" si="2"/>
        <v>PASS</v>
      </c>
      <c r="K19" s="9" t="str" cm="1">
        <f t="array" ref="K19">_xlfn.IFS(I19&gt;=95%,"A+",I19&gt;=85%,"A",I19&gt;=75%,"B",I19&gt;=65%,"C",I19&gt;=40%,"D",I19&gt;=0%,"F")</f>
        <v>B</v>
      </c>
    </row>
    <row r="20" spans="1:11" customFormat="1" ht="20.25" customHeight="1">
      <c r="A20" s="9" t="s">
        <v>50</v>
      </c>
      <c r="B20" s="9" t="s">
        <v>51</v>
      </c>
      <c r="C20" s="9" t="s">
        <v>21</v>
      </c>
      <c r="D20" s="9">
        <v>35</v>
      </c>
      <c r="E20" s="9">
        <v>42</v>
      </c>
      <c r="F20" s="9">
        <v>39</v>
      </c>
      <c r="G20" s="9">
        <v>48</v>
      </c>
      <c r="H20" s="9">
        <f t="shared" si="0"/>
        <v>164</v>
      </c>
      <c r="I20" s="11">
        <f t="shared" si="1"/>
        <v>0.41</v>
      </c>
      <c r="J20" s="9" t="str">
        <f t="shared" si="2"/>
        <v>FAIL</v>
      </c>
      <c r="K20" s="9" t="str" cm="1">
        <f t="array" ref="K20">_xlfn.IFS(I20&gt;=95%,"A+",I20&gt;=85%,"A",I20&gt;=75%,"B",I20&gt;=65%,"C",I20&gt;=40%,"D",I20&gt;=0%,"F")</f>
        <v>D</v>
      </c>
    </row>
    <row r="21" spans="1:11" customFormat="1" ht="20.25" customHeight="1">
      <c r="A21" s="9" t="s">
        <v>52</v>
      </c>
      <c r="B21" s="9" t="s">
        <v>53</v>
      </c>
      <c r="C21" s="9" t="s">
        <v>18</v>
      </c>
      <c r="D21" s="9">
        <v>72</v>
      </c>
      <c r="E21" s="9">
        <v>75</v>
      </c>
      <c r="F21" s="9">
        <v>70</v>
      </c>
      <c r="G21" s="9">
        <v>78</v>
      </c>
      <c r="H21" s="9">
        <f t="shared" si="0"/>
        <v>295</v>
      </c>
      <c r="I21" s="11">
        <f t="shared" si="1"/>
        <v>0.73750000000000004</v>
      </c>
      <c r="J21" s="9" t="str">
        <f t="shared" si="2"/>
        <v>PASS</v>
      </c>
      <c r="K21" s="9" t="str" cm="1">
        <f t="array" ref="K21">_xlfn.IFS(I21&gt;=95%,"A+",I21&gt;=85%,"A",I21&gt;=75%,"B",I21&gt;=65%,"C",I21&gt;=40%,"D",I21&gt;=0%,"F")</f>
        <v>C</v>
      </c>
    </row>
    <row r="22" spans="1:11" customFormat="1" ht="20.25" customHeight="1">
      <c r="A22" s="9" t="s">
        <v>54</v>
      </c>
      <c r="B22" s="9" t="s">
        <v>55</v>
      </c>
      <c r="C22" s="9" t="s">
        <v>11</v>
      </c>
      <c r="D22" s="9">
        <v>89</v>
      </c>
      <c r="E22" s="9">
        <v>94</v>
      </c>
      <c r="F22" s="9">
        <v>91</v>
      </c>
      <c r="G22" s="9">
        <v>93</v>
      </c>
      <c r="H22" s="9">
        <f t="shared" si="0"/>
        <v>367</v>
      </c>
      <c r="I22" s="11">
        <f t="shared" si="1"/>
        <v>0.91749999999999998</v>
      </c>
      <c r="J22" s="9" t="str">
        <f t="shared" si="2"/>
        <v>PASS</v>
      </c>
      <c r="K22" s="9" t="str" cm="1">
        <f t="array" ref="K22">_xlfn.IFS(I22&gt;=95%,"A+",I22&gt;=85%,"A",I22&gt;=75%,"B",I22&gt;=65%,"C",I22&gt;=40%,"D",I22&gt;=0%,"F")</f>
        <v>A</v>
      </c>
    </row>
    <row r="23" spans="1:11" customFormat="1" ht="20.25" customHeight="1">
      <c r="A23" s="9" t="s">
        <v>56</v>
      </c>
      <c r="B23" s="9" t="s">
        <v>57</v>
      </c>
      <c r="C23" s="9" t="s">
        <v>21</v>
      </c>
      <c r="D23" s="9">
        <v>64</v>
      </c>
      <c r="E23" s="9">
        <v>69</v>
      </c>
      <c r="F23" s="9">
        <v>62</v>
      </c>
      <c r="G23" s="9">
        <v>71</v>
      </c>
      <c r="H23" s="9">
        <f t="shared" si="0"/>
        <v>266</v>
      </c>
      <c r="I23" s="11">
        <f t="shared" si="1"/>
        <v>0.66500000000000004</v>
      </c>
      <c r="J23" s="9" t="str">
        <f t="shared" si="2"/>
        <v>PASS</v>
      </c>
      <c r="K23" s="9" t="str" cm="1">
        <f t="array" ref="K23">_xlfn.IFS(I23&gt;=95%,"A+",I23&gt;=85%,"A",I23&gt;=75%,"B",I23&gt;=65%,"C",I23&gt;=40%,"D",I23&gt;=0%,"F")</f>
        <v>C</v>
      </c>
    </row>
    <row r="24" spans="1:11" customFormat="1" ht="20.25" customHeight="1">
      <c r="A24" s="9" t="s">
        <v>58</v>
      </c>
      <c r="B24" s="9" t="s">
        <v>59</v>
      </c>
      <c r="C24" s="9" t="s">
        <v>18</v>
      </c>
      <c r="D24" s="9">
        <v>58</v>
      </c>
      <c r="E24" s="9">
        <v>61</v>
      </c>
      <c r="F24" s="9">
        <v>55</v>
      </c>
      <c r="G24" s="9">
        <v>67</v>
      </c>
      <c r="H24" s="9">
        <f t="shared" si="0"/>
        <v>241</v>
      </c>
      <c r="I24" s="11">
        <f t="shared" si="1"/>
        <v>0.60250000000000004</v>
      </c>
      <c r="J24" s="9" t="str">
        <f t="shared" si="2"/>
        <v>PASS</v>
      </c>
      <c r="K24" s="9" t="str" cm="1">
        <f t="array" ref="K24">_xlfn.IFS(I24&gt;=95%,"A+",I24&gt;=85%,"A",I24&gt;=75%,"B",I24&gt;=65%,"C",I24&gt;=40%,"D",I24&gt;=0%,"F")</f>
        <v>D</v>
      </c>
    </row>
    <row r="25" spans="1:11" customFormat="1" ht="20.25" customHeight="1">
      <c r="A25" s="9" t="s">
        <v>60</v>
      </c>
      <c r="B25" s="9" t="s">
        <v>61</v>
      </c>
      <c r="C25" s="9" t="s">
        <v>11</v>
      </c>
      <c r="D25" s="9">
        <v>77</v>
      </c>
      <c r="E25" s="9">
        <v>83</v>
      </c>
      <c r="F25" s="9">
        <v>80</v>
      </c>
      <c r="G25" s="9">
        <v>85</v>
      </c>
      <c r="H25" s="9">
        <f t="shared" si="0"/>
        <v>325</v>
      </c>
      <c r="I25" s="11">
        <f t="shared" si="1"/>
        <v>0.8125</v>
      </c>
      <c r="J25" s="9" t="str">
        <f t="shared" si="2"/>
        <v>PASS</v>
      </c>
      <c r="K25" s="9" t="str" cm="1">
        <f t="array" ref="K25">_xlfn.IFS(I25&gt;=95%,"A+",I25&gt;=85%,"A",I25&gt;=75%,"B",I25&gt;=65%,"C",I25&gt;=40%,"D",I25&gt;=0%,"F")</f>
        <v>B</v>
      </c>
    </row>
    <row r="26" spans="1:11" customFormat="1" ht="20.25" customHeight="1">
      <c r="A26" s="9" t="s">
        <v>62</v>
      </c>
      <c r="B26" s="9" t="s">
        <v>63</v>
      </c>
      <c r="C26" s="9" t="s">
        <v>21</v>
      </c>
      <c r="D26" s="9">
        <v>44</v>
      </c>
      <c r="E26" s="9">
        <v>51</v>
      </c>
      <c r="F26" s="9">
        <v>46</v>
      </c>
      <c r="G26" s="9">
        <v>55</v>
      </c>
      <c r="H26" s="9">
        <f t="shared" si="0"/>
        <v>196</v>
      </c>
      <c r="I26" s="11">
        <f t="shared" si="1"/>
        <v>0.49</v>
      </c>
      <c r="J26" s="9" t="str">
        <f t="shared" si="2"/>
        <v>PASS</v>
      </c>
      <c r="K26" s="9" t="str" cm="1">
        <f t="array" ref="K26">_xlfn.IFS(I26&gt;=95%,"A+",I26&gt;=85%,"A",I26&gt;=75%,"B",I26&gt;=65%,"C",I26&gt;=40%,"D",I26&gt;=0%,"F")</f>
        <v>D</v>
      </c>
    </row>
    <row r="27" spans="1:11" customFormat="1" ht="20.25" customHeight="1">
      <c r="A27" s="9" t="s">
        <v>64</v>
      </c>
      <c r="B27" s="9" t="s">
        <v>65</v>
      </c>
      <c r="C27" s="9" t="s">
        <v>18</v>
      </c>
      <c r="D27" s="9">
        <v>86</v>
      </c>
      <c r="E27" s="9">
        <v>78</v>
      </c>
      <c r="F27" s="9">
        <v>89</v>
      </c>
      <c r="G27" s="9">
        <v>92</v>
      </c>
      <c r="H27" s="9">
        <f t="shared" si="0"/>
        <v>345</v>
      </c>
      <c r="I27" s="11">
        <f t="shared" si="1"/>
        <v>0.86250000000000004</v>
      </c>
      <c r="J27" s="9" t="str">
        <f t="shared" si="2"/>
        <v>PASS</v>
      </c>
      <c r="K27" s="9" t="str" cm="1">
        <f t="array" ref="K27">_xlfn.IFS(I27&gt;=95%,"A+",I27&gt;=85%,"A",I27&gt;=75%,"B",I27&gt;=65%,"C",I27&gt;=40%,"D",I27&gt;=0%,"F")</f>
        <v>A</v>
      </c>
    </row>
    <row r="28" spans="1:11" customFormat="1" ht="20.25" customHeight="1">
      <c r="A28" s="9" t="s">
        <v>66</v>
      </c>
      <c r="B28" s="9" t="s">
        <v>67</v>
      </c>
      <c r="C28" s="9" t="s">
        <v>11</v>
      </c>
      <c r="D28" s="9">
        <v>71</v>
      </c>
      <c r="E28" s="9">
        <v>66</v>
      </c>
      <c r="F28" s="9">
        <v>74</v>
      </c>
      <c r="G28" s="9">
        <v>80</v>
      </c>
      <c r="H28" s="9">
        <f t="shared" si="0"/>
        <v>291</v>
      </c>
      <c r="I28" s="11">
        <f t="shared" si="1"/>
        <v>0.72750000000000004</v>
      </c>
      <c r="J28" s="9" t="str">
        <f t="shared" si="2"/>
        <v>PASS</v>
      </c>
      <c r="K28" s="9" t="str" cm="1">
        <f t="array" ref="K28">_xlfn.IFS(I28&gt;=95%,"A+",I28&gt;=85%,"A",I28&gt;=75%,"B",I28&gt;=65%,"C",I28&gt;=40%,"D",I28&gt;=0%,"F")</f>
        <v>C</v>
      </c>
    </row>
    <row r="29" spans="1:11" customFormat="1" ht="20.25" customHeight="1">
      <c r="A29" s="9" t="s">
        <v>68</v>
      </c>
      <c r="B29" s="9" t="s">
        <v>69</v>
      </c>
      <c r="C29" s="9" t="s">
        <v>21</v>
      </c>
      <c r="D29" s="9">
        <v>92</v>
      </c>
      <c r="E29" s="9">
        <v>95</v>
      </c>
      <c r="F29" s="9">
        <v>90</v>
      </c>
      <c r="G29" s="9">
        <v>97</v>
      </c>
      <c r="H29" s="9">
        <f t="shared" si="0"/>
        <v>374</v>
      </c>
      <c r="I29" s="11">
        <f t="shared" si="1"/>
        <v>0.93500000000000005</v>
      </c>
      <c r="J29" s="9" t="str">
        <f t="shared" si="2"/>
        <v>PASS</v>
      </c>
      <c r="K29" s="9" t="str" cm="1">
        <f t="array" ref="K29">_xlfn.IFS(I29&gt;=95%,"A+",I29&gt;=85%,"A",I29&gt;=75%,"B",I29&gt;=65%,"C",I29&gt;=40%,"D",I29&gt;=0%,"F")</f>
        <v>A</v>
      </c>
    </row>
    <row r="30" spans="1:11" customFormat="1" ht="20.25" customHeight="1">
      <c r="A30" s="9" t="s">
        <v>70</v>
      </c>
      <c r="B30" s="9" t="s">
        <v>71</v>
      </c>
      <c r="C30" s="9" t="s">
        <v>18</v>
      </c>
      <c r="D30" s="9">
        <v>49</v>
      </c>
      <c r="E30" s="9">
        <v>58</v>
      </c>
      <c r="F30" s="9">
        <v>52</v>
      </c>
      <c r="G30" s="9">
        <v>60</v>
      </c>
      <c r="H30" s="9">
        <f t="shared" si="0"/>
        <v>219</v>
      </c>
      <c r="I30" s="11">
        <f t="shared" si="1"/>
        <v>0.54749999999999999</v>
      </c>
      <c r="J30" s="9" t="str">
        <f t="shared" si="2"/>
        <v>PASS</v>
      </c>
      <c r="K30" s="9" t="str" cm="1">
        <f t="array" ref="K30">_xlfn.IFS(I30&gt;=95%,"A+",I30&gt;=85%,"A",I30&gt;=75%,"B",I30&gt;=65%,"C",I30&gt;=40%,"D",I30&gt;=0%,"F")</f>
        <v>D</v>
      </c>
    </row>
    <row r="31" spans="1:11" customFormat="1" ht="20.25" customHeight="1">
      <c r="A31" s="9" t="s">
        <v>72</v>
      </c>
      <c r="B31" s="9" t="s">
        <v>73</v>
      </c>
      <c r="C31" s="9" t="s">
        <v>11</v>
      </c>
      <c r="D31" s="9">
        <v>68</v>
      </c>
      <c r="E31" s="9">
        <v>73</v>
      </c>
      <c r="F31" s="9">
        <v>71</v>
      </c>
      <c r="G31" s="9">
        <v>76</v>
      </c>
      <c r="H31" s="9">
        <f t="shared" si="0"/>
        <v>288</v>
      </c>
      <c r="I31" s="11">
        <f t="shared" si="1"/>
        <v>0.72</v>
      </c>
      <c r="J31" s="9" t="str">
        <f t="shared" si="2"/>
        <v>PASS</v>
      </c>
      <c r="K31" s="9" t="str" cm="1">
        <f t="array" ref="K31">_xlfn.IFS(I31&gt;=95%,"A+",I31&gt;=85%,"A",I31&gt;=75%,"B",I31&gt;=65%,"C",I31&gt;=40%,"D",I31&gt;=0%,"F")</f>
        <v>C</v>
      </c>
    </row>
    <row r="32" spans="1:11" customFormat="1" ht="20.25" customHeight="1">
      <c r="A32" s="9" t="s">
        <v>74</v>
      </c>
      <c r="B32" s="9" t="s">
        <v>75</v>
      </c>
      <c r="C32" s="9" t="s">
        <v>21</v>
      </c>
      <c r="D32" s="9">
        <v>79</v>
      </c>
      <c r="E32" s="9">
        <v>82</v>
      </c>
      <c r="F32" s="9">
        <v>77</v>
      </c>
      <c r="G32" s="9">
        <v>84</v>
      </c>
      <c r="H32" s="9">
        <f t="shared" si="0"/>
        <v>322</v>
      </c>
      <c r="I32" s="11">
        <f t="shared" si="1"/>
        <v>0.80500000000000005</v>
      </c>
      <c r="J32" s="9" t="str">
        <f t="shared" si="2"/>
        <v>PASS</v>
      </c>
      <c r="K32" s="9" t="str" cm="1">
        <f t="array" ref="K32">_xlfn.IFS(I32&gt;=95%,"A+",I32&gt;=85%,"A",I32&gt;=75%,"B",I32&gt;=65%,"C",I32&gt;=40%,"D",I32&gt;=0%,"F")</f>
        <v>B</v>
      </c>
    </row>
    <row r="33" spans="1:11" customFormat="1" ht="20.25" customHeight="1">
      <c r="A33" s="9" t="s">
        <v>76</v>
      </c>
      <c r="B33" s="9" t="s">
        <v>77</v>
      </c>
      <c r="C33" s="9" t="s">
        <v>18</v>
      </c>
      <c r="D33" s="9">
        <v>85</v>
      </c>
      <c r="E33" s="9">
        <v>87</v>
      </c>
      <c r="F33" s="9">
        <v>83</v>
      </c>
      <c r="G33" s="9">
        <v>89</v>
      </c>
      <c r="H33" s="9">
        <f t="shared" si="0"/>
        <v>344</v>
      </c>
      <c r="I33" s="11">
        <f t="shared" si="1"/>
        <v>0.86</v>
      </c>
      <c r="J33" s="9" t="str">
        <f t="shared" si="2"/>
        <v>PASS</v>
      </c>
      <c r="K33" s="9" t="str" cm="1">
        <f t="array" ref="K33">_xlfn.IFS(I33&gt;=95%,"A+",I33&gt;=85%,"A",I33&gt;=75%,"B",I33&gt;=65%,"C",I33&gt;=40%,"D",I33&gt;=0%,"F")</f>
        <v>A</v>
      </c>
    </row>
    <row r="34" spans="1:11" customFormat="1" ht="20.25" customHeight="1">
      <c r="A34" s="9" t="s">
        <v>78</v>
      </c>
      <c r="B34" s="9" t="s">
        <v>79</v>
      </c>
      <c r="C34" s="9" t="s">
        <v>11</v>
      </c>
      <c r="D34" s="9">
        <v>52</v>
      </c>
      <c r="E34" s="9">
        <v>47</v>
      </c>
      <c r="F34" s="9">
        <v>54</v>
      </c>
      <c r="G34" s="9">
        <v>62</v>
      </c>
      <c r="H34" s="9">
        <f t="shared" si="0"/>
        <v>215</v>
      </c>
      <c r="I34" s="11">
        <f t="shared" si="1"/>
        <v>0.53749999999999998</v>
      </c>
      <c r="J34" s="9" t="str">
        <f t="shared" si="2"/>
        <v>PASS</v>
      </c>
      <c r="K34" s="9" t="str" cm="1">
        <f t="array" ref="K34">_xlfn.IFS(I34&gt;=95%,"A+",I34&gt;=85%,"A",I34&gt;=75%,"B",I34&gt;=65%,"C",I34&gt;=40%,"D",I34&gt;=0%,"F")</f>
        <v>D</v>
      </c>
    </row>
    <row r="35" spans="1:11" customFormat="1" ht="20.25" customHeight="1">
      <c r="A35" s="9" t="s">
        <v>80</v>
      </c>
      <c r="B35" s="9" t="s">
        <v>81</v>
      </c>
      <c r="C35" s="9" t="s">
        <v>21</v>
      </c>
      <c r="D35" s="9">
        <v>74</v>
      </c>
      <c r="E35" s="9">
        <v>79</v>
      </c>
      <c r="F35" s="9">
        <v>76</v>
      </c>
      <c r="G35" s="9">
        <v>81</v>
      </c>
      <c r="H35" s="9">
        <f t="shared" si="0"/>
        <v>310</v>
      </c>
      <c r="I35" s="11">
        <f t="shared" si="1"/>
        <v>0.77500000000000002</v>
      </c>
      <c r="J35" s="9" t="str">
        <f t="shared" si="2"/>
        <v>PASS</v>
      </c>
      <c r="K35" s="9" t="str" cm="1">
        <f t="array" ref="K35">_xlfn.IFS(I35&gt;=95%,"A+",I35&gt;=85%,"A",I35&gt;=75%,"B",I35&gt;=65%,"C",I35&gt;=40%,"D",I35&gt;=0%,"F")</f>
        <v>B</v>
      </c>
    </row>
    <row r="36" spans="1:11" customFormat="1" ht="20.25" customHeight="1">
      <c r="A36" s="9" t="s">
        <v>82</v>
      </c>
      <c r="B36" s="9" t="s">
        <v>83</v>
      </c>
      <c r="C36" s="9" t="s">
        <v>18</v>
      </c>
      <c r="D36" s="9">
        <v>63</v>
      </c>
      <c r="E36" s="9">
        <v>59</v>
      </c>
      <c r="F36" s="9">
        <v>66</v>
      </c>
      <c r="G36" s="9">
        <v>70</v>
      </c>
      <c r="H36" s="9">
        <f t="shared" si="0"/>
        <v>258</v>
      </c>
      <c r="I36" s="11">
        <f t="shared" si="1"/>
        <v>0.64500000000000002</v>
      </c>
      <c r="J36" s="9" t="str">
        <f t="shared" si="2"/>
        <v>PASS</v>
      </c>
      <c r="K36" s="9" t="str" cm="1">
        <f t="array" ref="K36">_xlfn.IFS(I36&gt;=95%,"A+",I36&gt;=85%,"A",I36&gt;=75%,"B",I36&gt;=65%,"C",I36&gt;=40%,"D",I36&gt;=0%,"F")</f>
        <v>D</v>
      </c>
    </row>
    <row r="37" spans="1:11" customFormat="1" ht="20.25" customHeight="1">
      <c r="A37" s="9" t="s">
        <v>84</v>
      </c>
      <c r="B37" s="9" t="s">
        <v>85</v>
      </c>
      <c r="C37" s="9" t="s">
        <v>11</v>
      </c>
      <c r="D37" s="9">
        <v>97</v>
      </c>
      <c r="E37" s="9">
        <v>93</v>
      </c>
      <c r="F37" s="9">
        <v>95</v>
      </c>
      <c r="G37" s="9">
        <v>98</v>
      </c>
      <c r="H37" s="9">
        <f t="shared" si="0"/>
        <v>383</v>
      </c>
      <c r="I37" s="11">
        <f t="shared" si="1"/>
        <v>0.95750000000000002</v>
      </c>
      <c r="J37" s="9" t="str">
        <f t="shared" si="2"/>
        <v>PASS</v>
      </c>
      <c r="K37" s="9" t="str" cm="1">
        <f t="array" ref="K37">_xlfn.IFS(I37&gt;=95%,"A+",I37&gt;=85%,"A",I37&gt;=75%,"B",I37&gt;=65%,"C",I37&gt;=40%,"D",I37&gt;=0%,"F")</f>
        <v>A+</v>
      </c>
    </row>
    <row r="38" spans="1:11" customFormat="1" ht="20.25" customHeight="1">
      <c r="A38" s="9" t="s">
        <v>86</v>
      </c>
      <c r="B38" s="9" t="s">
        <v>87</v>
      </c>
      <c r="C38" s="9" t="s">
        <v>21</v>
      </c>
      <c r="D38" s="9">
        <v>41</v>
      </c>
      <c r="E38" s="9">
        <v>48</v>
      </c>
      <c r="F38" s="9">
        <v>45</v>
      </c>
      <c r="G38" s="9">
        <v>53</v>
      </c>
      <c r="H38" s="9">
        <f t="shared" si="0"/>
        <v>187</v>
      </c>
      <c r="I38" s="11">
        <f t="shared" si="1"/>
        <v>0.46750000000000003</v>
      </c>
      <c r="J38" s="9" t="str">
        <f t="shared" si="2"/>
        <v>PASS</v>
      </c>
      <c r="K38" s="9" t="str" cm="1">
        <f t="array" ref="K38">_xlfn.IFS(I38&gt;=95%,"A+",I38&gt;=85%,"A",I38&gt;=75%,"B",I38&gt;=65%,"C",I38&gt;=40%,"D",I38&gt;=0%,"F")</f>
        <v>D</v>
      </c>
    </row>
    <row r="39" spans="1:11" customFormat="1" ht="20.25" customHeight="1">
      <c r="A39" s="9" t="s">
        <v>88</v>
      </c>
      <c r="B39" s="9" t="s">
        <v>89</v>
      </c>
      <c r="C39" s="9" t="s">
        <v>18</v>
      </c>
      <c r="D39" s="9">
        <v>80</v>
      </c>
      <c r="E39" s="9">
        <v>84</v>
      </c>
      <c r="F39" s="9">
        <v>78</v>
      </c>
      <c r="G39" s="9">
        <v>87</v>
      </c>
      <c r="H39" s="9">
        <f t="shared" si="0"/>
        <v>329</v>
      </c>
      <c r="I39" s="11">
        <f t="shared" si="1"/>
        <v>0.82250000000000001</v>
      </c>
      <c r="J39" s="9" t="str">
        <f t="shared" si="2"/>
        <v>PASS</v>
      </c>
      <c r="K39" s="9" t="str" cm="1">
        <f t="array" ref="K39">_xlfn.IFS(I39&gt;=95%,"A+",I39&gt;=85%,"A",I39&gt;=75%,"B",I39&gt;=65%,"C",I39&gt;=40%,"D",I39&gt;=0%,"F")</f>
        <v>B</v>
      </c>
    </row>
    <row r="40" spans="1:11" customFormat="1" ht="20.25" customHeight="1">
      <c r="A40" s="9" t="s">
        <v>90</v>
      </c>
      <c r="B40" s="9" t="s">
        <v>91</v>
      </c>
      <c r="C40" s="9" t="s">
        <v>11</v>
      </c>
      <c r="D40" s="9">
        <v>67</v>
      </c>
      <c r="E40" s="9">
        <v>72</v>
      </c>
      <c r="F40" s="9">
        <v>69</v>
      </c>
      <c r="G40" s="9">
        <v>74</v>
      </c>
      <c r="H40" s="9">
        <f t="shared" si="0"/>
        <v>282</v>
      </c>
      <c r="I40" s="11">
        <f t="shared" si="1"/>
        <v>0.70499999999999996</v>
      </c>
      <c r="J40" s="9" t="str">
        <f t="shared" si="2"/>
        <v>PASS</v>
      </c>
      <c r="K40" s="9" t="str" cm="1">
        <f t="array" ref="K40">_xlfn.IFS(I40&gt;=95%,"A+",I40&gt;=85%,"A",I40&gt;=75%,"B",I40&gt;=65%,"C",I40&gt;=40%,"D",I40&gt;=0%,"F")</f>
        <v>C</v>
      </c>
    </row>
    <row r="41" spans="1:11" customFormat="1" ht="20.25" customHeight="1">
      <c r="A41" s="9" t="s">
        <v>92</v>
      </c>
      <c r="B41" s="9" t="s">
        <v>93</v>
      </c>
      <c r="C41" s="9" t="s">
        <v>21</v>
      </c>
      <c r="D41" s="9">
        <v>90</v>
      </c>
      <c r="E41" s="9">
        <v>86</v>
      </c>
      <c r="F41" s="9">
        <v>92</v>
      </c>
      <c r="G41" s="9">
        <v>95</v>
      </c>
      <c r="H41" s="9">
        <f t="shared" si="0"/>
        <v>363</v>
      </c>
      <c r="I41" s="11">
        <f t="shared" si="1"/>
        <v>0.90749999999999997</v>
      </c>
      <c r="J41" s="9" t="str">
        <f t="shared" si="2"/>
        <v>PASS</v>
      </c>
      <c r="K41" s="9" t="str" cm="1">
        <f t="array" ref="K41">_xlfn.IFS(I41&gt;=95%,"A+",I41&gt;=85%,"A",I41&gt;=75%,"B",I41&gt;=65%,"C",I41&gt;=40%,"D",I41&gt;=0%,"F")</f>
        <v>A</v>
      </c>
    </row>
    <row r="42" spans="1:11" customFormat="1" ht="20.25" customHeight="1">
      <c r="A42" s="9" t="s">
        <v>94</v>
      </c>
      <c r="B42" s="9" t="s">
        <v>95</v>
      </c>
      <c r="C42" s="9" t="s">
        <v>18</v>
      </c>
      <c r="D42" s="9">
        <v>57</v>
      </c>
      <c r="E42" s="9">
        <v>64</v>
      </c>
      <c r="F42" s="9">
        <v>61</v>
      </c>
      <c r="G42" s="9">
        <v>68</v>
      </c>
      <c r="H42" s="9">
        <f t="shared" si="0"/>
        <v>250</v>
      </c>
      <c r="I42" s="11">
        <f t="shared" si="1"/>
        <v>0.625</v>
      </c>
      <c r="J42" s="9" t="str">
        <f t="shared" si="2"/>
        <v>PASS</v>
      </c>
      <c r="K42" s="9" t="str" cm="1">
        <f t="array" ref="K42">_xlfn.IFS(I42&gt;=95%,"A+",I42&gt;=85%,"A",I42&gt;=75%,"B",I42&gt;=65%,"C",I42&gt;=40%,"D",I42&gt;=0%,"F")</f>
        <v>D</v>
      </c>
    </row>
    <row r="43" spans="1:11" customFormat="1" ht="20.25" customHeight="1">
      <c r="A43" s="9" t="s">
        <v>96</v>
      </c>
      <c r="B43" s="9" t="s">
        <v>97</v>
      </c>
      <c r="C43" s="9" t="s">
        <v>11</v>
      </c>
      <c r="D43" s="9">
        <v>83</v>
      </c>
      <c r="E43" s="9">
        <v>80</v>
      </c>
      <c r="F43" s="9">
        <v>86</v>
      </c>
      <c r="G43" s="9">
        <v>88</v>
      </c>
      <c r="H43" s="9">
        <f t="shared" si="0"/>
        <v>337</v>
      </c>
      <c r="I43" s="11">
        <f t="shared" si="1"/>
        <v>0.84250000000000003</v>
      </c>
      <c r="J43" s="9" t="str">
        <f t="shared" si="2"/>
        <v>PASS</v>
      </c>
      <c r="K43" s="9" t="str" cm="1">
        <f t="array" ref="K43">_xlfn.IFS(I43&gt;=95%,"A+",I43&gt;=85%,"A",I43&gt;=75%,"B",I43&gt;=65%,"C",I43&gt;=40%,"D",I43&gt;=0%,"F")</f>
        <v>B</v>
      </c>
    </row>
    <row r="44" spans="1:11" customFormat="1" ht="20.25" customHeight="1">
      <c r="A44" s="9" t="s">
        <v>98</v>
      </c>
      <c r="B44" s="9" t="s">
        <v>99</v>
      </c>
      <c r="C44" s="9" t="s">
        <v>21</v>
      </c>
      <c r="D44" s="9">
        <v>46</v>
      </c>
      <c r="E44" s="9">
        <v>53</v>
      </c>
      <c r="F44" s="9">
        <v>49</v>
      </c>
      <c r="G44" s="9">
        <v>57</v>
      </c>
      <c r="H44" s="9">
        <f t="shared" si="0"/>
        <v>205</v>
      </c>
      <c r="I44" s="11">
        <f t="shared" si="1"/>
        <v>0.51249999999999996</v>
      </c>
      <c r="J44" s="9" t="str">
        <f t="shared" si="2"/>
        <v>PASS</v>
      </c>
      <c r="K44" s="9" t="str" cm="1">
        <f t="array" ref="K44">_xlfn.IFS(I44&gt;=95%,"A+",I44&gt;=85%,"A",I44&gt;=75%,"B",I44&gt;=65%,"C",I44&gt;=40%,"D",I44&gt;=0%,"F")</f>
        <v>D</v>
      </c>
    </row>
    <row r="45" spans="1:11" customFormat="1" ht="20.25" customHeight="1">
      <c r="A45" s="9" t="s">
        <v>100</v>
      </c>
      <c r="B45" s="9" t="s">
        <v>101</v>
      </c>
      <c r="C45" s="9" t="s">
        <v>18</v>
      </c>
      <c r="D45" s="9">
        <v>75</v>
      </c>
      <c r="E45" s="9">
        <v>71</v>
      </c>
      <c r="F45" s="9">
        <v>79</v>
      </c>
      <c r="G45" s="9">
        <v>83</v>
      </c>
      <c r="H45" s="9">
        <f t="shared" si="0"/>
        <v>308</v>
      </c>
      <c r="I45" s="11">
        <f t="shared" si="1"/>
        <v>0.77</v>
      </c>
      <c r="J45" s="9" t="str">
        <f t="shared" si="2"/>
        <v>PASS</v>
      </c>
      <c r="K45" s="9" t="str" cm="1">
        <f t="array" ref="K45">_xlfn.IFS(I45&gt;=95%,"A+",I45&gt;=85%,"A",I45&gt;=75%,"B",I45&gt;=65%,"C",I45&gt;=40%,"D",I45&gt;=0%,"F")</f>
        <v>B</v>
      </c>
    </row>
    <row r="46" spans="1:11" customFormat="1" ht="20.25" customHeight="1">
      <c r="A46" s="9" t="s">
        <v>102</v>
      </c>
      <c r="B46" s="9" t="s">
        <v>103</v>
      </c>
      <c r="C46" s="9" t="s">
        <v>11</v>
      </c>
      <c r="D46" s="9">
        <v>87</v>
      </c>
      <c r="E46" s="9">
        <v>90</v>
      </c>
      <c r="F46" s="9">
        <v>84</v>
      </c>
      <c r="G46" s="9">
        <v>91</v>
      </c>
      <c r="H46" s="9">
        <f t="shared" si="0"/>
        <v>352</v>
      </c>
      <c r="I46" s="11">
        <f t="shared" si="1"/>
        <v>0.88</v>
      </c>
      <c r="J46" s="9" t="str">
        <f t="shared" si="2"/>
        <v>PASS</v>
      </c>
      <c r="K46" s="9" t="str" cm="1">
        <f t="array" ref="K46">_xlfn.IFS(I46&gt;=95%,"A+",I46&gt;=85%,"A",I46&gt;=75%,"B",I46&gt;=65%,"C",I46&gt;=40%,"D",I46&gt;=0%,"F")</f>
        <v>A</v>
      </c>
    </row>
    <row r="47" spans="1:11" customFormat="1" ht="20.25" customHeight="1">
      <c r="A47" s="9" t="s">
        <v>104</v>
      </c>
      <c r="B47" s="9" t="s">
        <v>105</v>
      </c>
      <c r="C47" s="9" t="s">
        <v>21</v>
      </c>
      <c r="D47" s="9">
        <v>69</v>
      </c>
      <c r="E47" s="9">
        <v>76</v>
      </c>
      <c r="F47" s="9">
        <v>72</v>
      </c>
      <c r="G47" s="9">
        <v>78</v>
      </c>
      <c r="H47" s="9">
        <f t="shared" si="0"/>
        <v>295</v>
      </c>
      <c r="I47" s="11">
        <f t="shared" si="1"/>
        <v>0.73750000000000004</v>
      </c>
      <c r="J47" s="9" t="str">
        <f t="shared" si="2"/>
        <v>PASS</v>
      </c>
      <c r="K47" s="9" t="str" cm="1">
        <f t="array" ref="K47">_xlfn.IFS(I47&gt;=95%,"A+",I47&gt;=85%,"A",I47&gt;=75%,"B",I47&gt;=65%,"C",I47&gt;=40%,"D",I47&gt;=0%,"F")</f>
        <v>C</v>
      </c>
    </row>
    <row r="48" spans="1:11" customFormat="1" ht="20.25" customHeight="1">
      <c r="A48" s="9" t="s">
        <v>106</v>
      </c>
      <c r="B48" s="9" t="s">
        <v>107</v>
      </c>
      <c r="C48" s="9" t="s">
        <v>18</v>
      </c>
      <c r="D48" s="9">
        <v>32</v>
      </c>
      <c r="E48" s="9">
        <v>39</v>
      </c>
      <c r="F48" s="9">
        <v>44</v>
      </c>
      <c r="G48" s="9">
        <v>47</v>
      </c>
      <c r="H48" s="9">
        <f t="shared" si="0"/>
        <v>162</v>
      </c>
      <c r="I48" s="11">
        <f t="shared" si="1"/>
        <v>0.40500000000000003</v>
      </c>
      <c r="J48" s="9" t="str">
        <f t="shared" si="2"/>
        <v>FAIL</v>
      </c>
      <c r="K48" s="9" t="str" cm="1">
        <f t="array" ref="K48">_xlfn.IFS(I48&gt;=95%,"A+",I48&gt;=85%,"A",I48&gt;=75%,"B",I48&gt;=65%,"C",I48&gt;=40%,"D",I48&gt;=0%,"F")</f>
        <v>D</v>
      </c>
    </row>
    <row r="49" spans="1:11" customFormat="1" ht="20.25" customHeight="1">
      <c r="A49" s="9" t="s">
        <v>108</v>
      </c>
      <c r="B49" s="9" t="s">
        <v>109</v>
      </c>
      <c r="C49" s="9" t="s">
        <v>11</v>
      </c>
      <c r="D49" s="9">
        <v>94</v>
      </c>
      <c r="E49" s="9">
        <v>96</v>
      </c>
      <c r="F49" s="9">
        <v>91</v>
      </c>
      <c r="G49" s="9">
        <v>93</v>
      </c>
      <c r="H49" s="9">
        <f t="shared" si="0"/>
        <v>374</v>
      </c>
      <c r="I49" s="11">
        <f t="shared" si="1"/>
        <v>0.93500000000000005</v>
      </c>
      <c r="J49" s="9" t="str">
        <f t="shared" si="2"/>
        <v>PASS</v>
      </c>
      <c r="K49" s="9" t="str" cm="1">
        <f t="array" ref="K49">_xlfn.IFS(I49&gt;=95%,"A+",I49&gt;=85%,"A",I49&gt;=75%,"B",I49&gt;=65%,"C",I49&gt;=40%,"D",I49&gt;=0%,"F")</f>
        <v>A</v>
      </c>
    </row>
    <row r="50" spans="1:11" customFormat="1" ht="20.25" customHeight="1">
      <c r="A50" s="9" t="s">
        <v>110</v>
      </c>
      <c r="B50" s="9" t="s">
        <v>111</v>
      </c>
      <c r="C50" s="9" t="s">
        <v>21</v>
      </c>
      <c r="D50" s="9">
        <v>62</v>
      </c>
      <c r="E50" s="9">
        <v>68</v>
      </c>
      <c r="F50" s="9">
        <v>65</v>
      </c>
      <c r="G50" s="9">
        <v>73</v>
      </c>
      <c r="H50" s="9">
        <f t="shared" si="0"/>
        <v>268</v>
      </c>
      <c r="I50" s="11">
        <f t="shared" si="1"/>
        <v>0.67</v>
      </c>
      <c r="J50" s="9" t="str">
        <f t="shared" si="2"/>
        <v>PASS</v>
      </c>
      <c r="K50" s="9" t="str" cm="1">
        <f t="array" ref="K50">_xlfn.IFS(I50&gt;=95%,"A+",I50&gt;=85%,"A",I50&gt;=75%,"B",I50&gt;=65%,"C",I50&gt;=40%,"D",I50&gt;=0%,"F")</f>
        <v>C</v>
      </c>
    </row>
    <row r="51" spans="1:11" customFormat="1" ht="20.25" customHeight="1">
      <c r="A51" s="9" t="s">
        <v>112</v>
      </c>
      <c r="B51" s="9" t="s">
        <v>113</v>
      </c>
      <c r="C51" s="9" t="s">
        <v>18</v>
      </c>
      <c r="D51" s="9">
        <v>78</v>
      </c>
      <c r="E51" s="9">
        <v>74</v>
      </c>
      <c r="F51" s="9">
        <v>82</v>
      </c>
      <c r="G51" s="9">
        <v>85</v>
      </c>
      <c r="H51" s="9">
        <f t="shared" si="0"/>
        <v>319</v>
      </c>
      <c r="I51" s="11">
        <f t="shared" si="1"/>
        <v>0.79749999999999999</v>
      </c>
      <c r="J51" s="9" t="str">
        <f t="shared" si="2"/>
        <v>PASS</v>
      </c>
      <c r="K51" s="9" t="str" cm="1">
        <f t="array" ref="K51">_xlfn.IFS(I51&gt;=95%,"A+",I51&gt;=85%,"A",I51&gt;=75%,"B",I51&gt;=65%,"C",I51&gt;=40%,"D",I51&gt;=0%,"F")</f>
        <v>B</v>
      </c>
    </row>
    <row r="52" spans="1:11" customFormat="1" ht="20.25" customHeight="1">
      <c r="A52" s="9" t="s">
        <v>114</v>
      </c>
      <c r="B52" s="9" t="s">
        <v>115</v>
      </c>
      <c r="C52" s="9" t="s">
        <v>11</v>
      </c>
      <c r="D52" s="9">
        <v>84</v>
      </c>
      <c r="E52" s="9">
        <v>89</v>
      </c>
      <c r="F52" s="9">
        <v>81</v>
      </c>
      <c r="G52" s="9">
        <v>86</v>
      </c>
      <c r="H52" s="9">
        <f t="shared" si="0"/>
        <v>340</v>
      </c>
      <c r="I52" s="11">
        <f t="shared" si="1"/>
        <v>0.85</v>
      </c>
      <c r="J52" s="9" t="str">
        <f t="shared" si="2"/>
        <v>PASS</v>
      </c>
      <c r="K52" s="9" t="str" cm="1">
        <f t="array" ref="K52">_xlfn.IFS(I52&gt;=95%,"A+",I52&gt;=85%,"A",I52&gt;=75%,"B",I52&gt;=65%,"C",I52&gt;=40%,"D",I52&gt;=0%,"F")</f>
        <v>A</v>
      </c>
    </row>
    <row r="53" spans="1:11" customFormat="1" ht="20.25" customHeight="1">
      <c r="A53" s="9" t="s">
        <v>116</v>
      </c>
      <c r="B53" s="9" t="s">
        <v>117</v>
      </c>
      <c r="C53" s="9" t="s">
        <v>21</v>
      </c>
      <c r="D53" s="9">
        <v>59</v>
      </c>
      <c r="E53" s="9">
        <v>63</v>
      </c>
      <c r="F53" s="9">
        <v>58</v>
      </c>
      <c r="G53" s="9">
        <v>66</v>
      </c>
      <c r="H53" s="9">
        <f t="shared" si="0"/>
        <v>246</v>
      </c>
      <c r="I53" s="11">
        <f t="shared" si="1"/>
        <v>0.61499999999999999</v>
      </c>
      <c r="J53" s="9" t="str">
        <f t="shared" si="2"/>
        <v>PASS</v>
      </c>
      <c r="K53" s="9" t="str" cm="1">
        <f t="array" ref="K53">_xlfn.IFS(I53&gt;=95%,"A+",I53&gt;=85%,"A",I53&gt;=75%,"B",I53&gt;=65%,"C",I53&gt;=40%,"D",I53&gt;=0%,"F")</f>
        <v>D</v>
      </c>
    </row>
    <row r="54" spans="1:11" customFormat="1" ht="20.25" customHeight="1">
      <c r="A54" s="9" t="s">
        <v>118</v>
      </c>
      <c r="B54" s="9" t="s">
        <v>119</v>
      </c>
      <c r="C54" s="9" t="s">
        <v>18</v>
      </c>
      <c r="D54" s="9">
        <v>73</v>
      </c>
      <c r="E54" s="9">
        <v>70</v>
      </c>
      <c r="F54" s="9">
        <v>75</v>
      </c>
      <c r="G54" s="9">
        <v>79</v>
      </c>
      <c r="H54" s="9">
        <f t="shared" si="0"/>
        <v>297</v>
      </c>
      <c r="I54" s="11">
        <f t="shared" si="1"/>
        <v>0.74250000000000005</v>
      </c>
      <c r="J54" s="9" t="str">
        <f t="shared" si="2"/>
        <v>PASS</v>
      </c>
      <c r="K54" s="9" t="str" cm="1">
        <f t="array" ref="K54">_xlfn.IFS(I54&gt;=95%,"A+",I54&gt;=85%,"A",I54&gt;=75%,"B",I54&gt;=65%,"C",I54&gt;=40%,"D",I54&gt;=0%,"F")</f>
        <v>C</v>
      </c>
    </row>
    <row r="55" spans="1:11" customFormat="1" ht="20.25" customHeight="1">
      <c r="A55" s="9" t="s">
        <v>120</v>
      </c>
      <c r="B55" s="9" t="s">
        <v>121</v>
      </c>
      <c r="C55" s="9" t="s">
        <v>11</v>
      </c>
      <c r="D55" s="9">
        <v>91</v>
      </c>
      <c r="E55" s="9">
        <v>94</v>
      </c>
      <c r="F55" s="9">
        <v>89</v>
      </c>
      <c r="G55" s="9">
        <v>96</v>
      </c>
      <c r="H55" s="9">
        <f t="shared" si="0"/>
        <v>370</v>
      </c>
      <c r="I55" s="11">
        <f t="shared" si="1"/>
        <v>0.92500000000000004</v>
      </c>
      <c r="J55" s="9" t="str">
        <f t="shared" si="2"/>
        <v>PASS</v>
      </c>
      <c r="K55" s="9" t="str" cm="1">
        <f t="array" ref="K55">_xlfn.IFS(I55&gt;=95%,"A+",I55&gt;=85%,"A",I55&gt;=75%,"B",I55&gt;=65%,"C",I55&gt;=40%,"D",I55&gt;=0%,"F")</f>
        <v>A</v>
      </c>
    </row>
    <row r="56" spans="1:11" customFormat="1" ht="20.25" customHeight="1">
      <c r="A56" s="9" t="s">
        <v>122</v>
      </c>
      <c r="B56" s="9" t="s">
        <v>123</v>
      </c>
      <c r="C56" s="9" t="s">
        <v>21</v>
      </c>
      <c r="D56" s="9">
        <v>48</v>
      </c>
      <c r="E56" s="9">
        <v>55</v>
      </c>
      <c r="F56" s="9">
        <v>51</v>
      </c>
      <c r="G56" s="9">
        <v>59</v>
      </c>
      <c r="H56" s="9">
        <f t="shared" si="0"/>
        <v>213</v>
      </c>
      <c r="I56" s="11">
        <f t="shared" si="1"/>
        <v>0.53249999999999997</v>
      </c>
      <c r="J56" s="9" t="str">
        <f t="shared" si="2"/>
        <v>PASS</v>
      </c>
      <c r="K56" s="9" t="str" cm="1">
        <f t="array" ref="K56">_xlfn.IFS(I56&gt;=95%,"A+",I56&gt;=85%,"A",I56&gt;=75%,"B",I56&gt;=65%,"C",I56&gt;=40%,"D",I56&gt;=0%,"F")</f>
        <v>D</v>
      </c>
    </row>
    <row r="57" spans="1:11" customFormat="1" ht="20.25" customHeight="1">
      <c r="A57" s="9" t="s">
        <v>124</v>
      </c>
      <c r="B57" s="9" t="s">
        <v>125</v>
      </c>
      <c r="C57" s="9" t="s">
        <v>18</v>
      </c>
      <c r="D57" s="9">
        <v>82</v>
      </c>
      <c r="E57" s="9">
        <v>78</v>
      </c>
      <c r="F57" s="9">
        <v>85</v>
      </c>
      <c r="G57" s="9">
        <v>90</v>
      </c>
      <c r="H57" s="9">
        <f t="shared" si="0"/>
        <v>335</v>
      </c>
      <c r="I57" s="11">
        <f t="shared" si="1"/>
        <v>0.83750000000000002</v>
      </c>
      <c r="J57" s="9" t="str">
        <f t="shared" si="2"/>
        <v>PASS</v>
      </c>
      <c r="K57" s="9" t="str" cm="1">
        <f t="array" ref="K57">_xlfn.IFS(I57&gt;=95%,"A+",I57&gt;=85%,"A",I57&gt;=75%,"B",I57&gt;=65%,"C",I57&gt;=40%,"D",I57&gt;=0%,"F")</f>
        <v>B</v>
      </c>
    </row>
    <row r="58" spans="1:11" customFormat="1" ht="20.25" customHeight="1">
      <c r="A58" s="9" t="s">
        <v>126</v>
      </c>
      <c r="B58" s="9" t="s">
        <v>127</v>
      </c>
      <c r="C58" s="9" t="s">
        <v>11</v>
      </c>
      <c r="D58" s="9">
        <v>66</v>
      </c>
      <c r="E58" s="9">
        <v>71</v>
      </c>
      <c r="F58" s="9">
        <v>68</v>
      </c>
      <c r="G58" s="9">
        <v>75</v>
      </c>
      <c r="H58" s="9">
        <f t="shared" si="0"/>
        <v>280</v>
      </c>
      <c r="I58" s="11">
        <f t="shared" si="1"/>
        <v>0.7</v>
      </c>
      <c r="J58" s="9" t="str">
        <f t="shared" si="2"/>
        <v>PASS</v>
      </c>
      <c r="K58" s="9" t="str" cm="1">
        <f t="array" ref="K58">_xlfn.IFS(I58&gt;=95%,"A+",I58&gt;=85%,"A",I58&gt;=75%,"B",I58&gt;=65%,"C",I58&gt;=40%,"D",I58&gt;=0%,"F")</f>
        <v>C</v>
      </c>
    </row>
    <row r="59" spans="1:11" customFormat="1" ht="20.25" customHeight="1">
      <c r="A59" s="9" t="s">
        <v>128</v>
      </c>
      <c r="B59" s="9" t="s">
        <v>129</v>
      </c>
      <c r="C59" s="9" t="s">
        <v>21</v>
      </c>
      <c r="D59" s="9">
        <v>89</v>
      </c>
      <c r="E59" s="9">
        <v>85</v>
      </c>
      <c r="F59" s="9">
        <v>93</v>
      </c>
      <c r="G59" s="9">
        <v>92</v>
      </c>
      <c r="H59" s="9">
        <f t="shared" si="0"/>
        <v>359</v>
      </c>
      <c r="I59" s="11">
        <f t="shared" si="1"/>
        <v>0.89749999999999996</v>
      </c>
      <c r="J59" s="9" t="str">
        <f t="shared" si="2"/>
        <v>PASS</v>
      </c>
      <c r="K59" s="9" t="str" cm="1">
        <f t="array" ref="K59">_xlfn.IFS(I59&gt;=95%,"A+",I59&gt;=85%,"A",I59&gt;=75%,"B",I59&gt;=65%,"C",I59&gt;=40%,"D",I59&gt;=0%,"F")</f>
        <v>A</v>
      </c>
    </row>
    <row r="60" spans="1:11" customFormat="1" ht="20.25" customHeight="1">
      <c r="A60" s="9" t="s">
        <v>130</v>
      </c>
      <c r="B60" s="9" t="s">
        <v>131</v>
      </c>
      <c r="C60" s="9" t="s">
        <v>18</v>
      </c>
      <c r="D60" s="9">
        <v>55</v>
      </c>
      <c r="E60" s="9">
        <v>60</v>
      </c>
      <c r="F60" s="9">
        <v>53</v>
      </c>
      <c r="G60" s="9">
        <v>64</v>
      </c>
      <c r="H60" s="9">
        <f t="shared" si="0"/>
        <v>232</v>
      </c>
      <c r="I60" s="11">
        <f t="shared" si="1"/>
        <v>0.57999999999999996</v>
      </c>
      <c r="J60" s="9" t="str">
        <f t="shared" si="2"/>
        <v>PASS</v>
      </c>
      <c r="K60" s="9" t="str" cm="1">
        <f t="array" ref="K60">_xlfn.IFS(I60&gt;=95%,"A+",I60&gt;=85%,"A",I60&gt;=75%,"B",I60&gt;=65%,"C",I60&gt;=40%,"D",I60&gt;=0%,"F")</f>
        <v>D</v>
      </c>
    </row>
    <row r="61" spans="1:11" customFormat="1" ht="20.25" customHeight="1">
      <c r="A61" s="9" t="s">
        <v>132</v>
      </c>
      <c r="B61" s="9" t="s">
        <v>133</v>
      </c>
      <c r="C61" s="9" t="s">
        <v>11</v>
      </c>
      <c r="D61" s="9">
        <v>76</v>
      </c>
      <c r="E61" s="9">
        <v>82</v>
      </c>
      <c r="F61" s="9">
        <v>79</v>
      </c>
      <c r="G61" s="9">
        <v>84</v>
      </c>
      <c r="H61" s="9">
        <f t="shared" si="0"/>
        <v>321</v>
      </c>
      <c r="I61" s="11">
        <f t="shared" si="1"/>
        <v>0.80249999999999999</v>
      </c>
      <c r="J61" s="9" t="str">
        <f t="shared" si="2"/>
        <v>PASS</v>
      </c>
      <c r="K61" s="9" t="str" cm="1">
        <f t="array" ref="K61">_xlfn.IFS(I61&gt;=95%,"A+",I61&gt;=85%,"A",I61&gt;=75%,"B",I61&gt;=65%,"C",I61&gt;=40%,"D",I61&gt;=0%,"F")</f>
        <v>B</v>
      </c>
    </row>
    <row r="62" spans="1:11" customFormat="1" ht="20.25" customHeight="1">
      <c r="A62" s="9" t="s">
        <v>134</v>
      </c>
      <c r="B62" s="9" t="s">
        <v>135</v>
      </c>
      <c r="C62" s="9" t="s">
        <v>21</v>
      </c>
      <c r="D62" s="9">
        <v>93</v>
      </c>
      <c r="E62" s="9">
        <v>90</v>
      </c>
      <c r="F62" s="9">
        <v>95</v>
      </c>
      <c r="G62" s="9">
        <v>97</v>
      </c>
      <c r="H62" s="9">
        <f t="shared" si="0"/>
        <v>375</v>
      </c>
      <c r="I62" s="11">
        <f t="shared" si="1"/>
        <v>0.9375</v>
      </c>
      <c r="J62" s="9" t="str">
        <f t="shared" si="2"/>
        <v>PASS</v>
      </c>
      <c r="K62" s="9" t="str" cm="1">
        <f t="array" ref="K62">_xlfn.IFS(I62&gt;=95%,"A+",I62&gt;=85%,"A",I62&gt;=75%,"B",I62&gt;=65%,"C",I62&gt;=40%,"D",I62&gt;=0%,"F")</f>
        <v>A</v>
      </c>
    </row>
    <row r="63" spans="1:11" customFormat="1" ht="20.25" customHeight="1">
      <c r="A63" s="9" t="s">
        <v>136</v>
      </c>
      <c r="B63" s="9" t="s">
        <v>137</v>
      </c>
      <c r="C63" s="9" t="s">
        <v>18</v>
      </c>
      <c r="D63" s="9">
        <v>71</v>
      </c>
      <c r="E63" s="9">
        <v>67</v>
      </c>
      <c r="F63" s="9">
        <v>73</v>
      </c>
      <c r="G63" s="9">
        <v>77</v>
      </c>
      <c r="H63" s="9">
        <f t="shared" si="0"/>
        <v>288</v>
      </c>
      <c r="I63" s="11">
        <f t="shared" si="1"/>
        <v>0.72</v>
      </c>
      <c r="J63" s="9" t="str">
        <f t="shared" si="2"/>
        <v>PASS</v>
      </c>
      <c r="K63" s="9" t="str" cm="1">
        <f t="array" ref="K63">_xlfn.IFS(I63&gt;=95%,"A+",I63&gt;=85%,"A",I63&gt;=75%,"B",I63&gt;=65%,"C",I63&gt;=40%,"D",I63&gt;=0%,"F")</f>
        <v>C</v>
      </c>
    </row>
    <row r="64" spans="1:11" customFormat="1" ht="20.25" customHeight="1">
      <c r="A64" s="9" t="s">
        <v>138</v>
      </c>
      <c r="B64" s="9" t="s">
        <v>139</v>
      </c>
      <c r="C64" s="9" t="s">
        <v>11</v>
      </c>
      <c r="D64" s="9">
        <v>45</v>
      </c>
      <c r="E64" s="9">
        <v>50</v>
      </c>
      <c r="F64" s="9">
        <v>47</v>
      </c>
      <c r="G64" s="9">
        <v>56</v>
      </c>
      <c r="H64" s="9">
        <f t="shared" si="0"/>
        <v>198</v>
      </c>
      <c r="I64" s="11">
        <f t="shared" si="1"/>
        <v>0.495</v>
      </c>
      <c r="J64" s="9" t="str">
        <f t="shared" si="2"/>
        <v>PASS</v>
      </c>
      <c r="K64" s="9" t="str" cm="1">
        <f t="array" ref="K64">_xlfn.IFS(I64&gt;=95%,"A+",I64&gt;=85%,"A",I64&gt;=75%,"B",I64&gt;=65%,"C",I64&gt;=40%,"D",I64&gt;=0%,"F")</f>
        <v>D</v>
      </c>
    </row>
    <row r="65" spans="1:11" customFormat="1" ht="20.25" customHeight="1">
      <c r="A65" s="9" t="s">
        <v>140</v>
      </c>
      <c r="B65" s="9" t="s">
        <v>141</v>
      </c>
      <c r="C65" s="9" t="s">
        <v>21</v>
      </c>
      <c r="D65" s="9">
        <v>86</v>
      </c>
      <c r="E65" s="9">
        <v>91</v>
      </c>
      <c r="F65" s="9">
        <v>88</v>
      </c>
      <c r="G65" s="9">
        <v>94</v>
      </c>
      <c r="H65" s="9">
        <f t="shared" si="0"/>
        <v>359</v>
      </c>
      <c r="I65" s="11">
        <f t="shared" si="1"/>
        <v>0.89749999999999996</v>
      </c>
      <c r="J65" s="9" t="str">
        <f t="shared" si="2"/>
        <v>PASS</v>
      </c>
      <c r="K65" s="9" t="str" cm="1">
        <f t="array" ref="K65">_xlfn.IFS(I65&gt;=95%,"A+",I65&gt;=85%,"A",I65&gt;=75%,"B",I65&gt;=65%,"C",I65&gt;=40%,"D",I65&gt;=0%,"F")</f>
        <v>A</v>
      </c>
    </row>
    <row r="66" spans="1:11" customFormat="1" ht="20.25" customHeight="1">
      <c r="A66" s="9" t="s">
        <v>142</v>
      </c>
      <c r="B66" s="9" t="s">
        <v>143</v>
      </c>
      <c r="C66" s="9" t="s">
        <v>18</v>
      </c>
      <c r="D66" s="9">
        <v>60</v>
      </c>
      <c r="E66" s="9">
        <v>65</v>
      </c>
      <c r="F66" s="9">
        <v>62</v>
      </c>
      <c r="G66" s="9">
        <v>69</v>
      </c>
      <c r="H66" s="9">
        <f t="shared" si="0"/>
        <v>256</v>
      </c>
      <c r="I66" s="11">
        <f t="shared" si="1"/>
        <v>0.64</v>
      </c>
      <c r="J66" s="9" t="str">
        <f t="shared" si="2"/>
        <v>PASS</v>
      </c>
      <c r="K66" s="9" t="str" cm="1">
        <f t="array" ref="K66">_xlfn.IFS(I66&gt;=95%,"A+",I66&gt;=85%,"A",I66&gt;=75%,"B",I66&gt;=65%,"C",I66&gt;=40%,"D",I66&gt;=0%,"F")</f>
        <v>D</v>
      </c>
    </row>
    <row r="67" spans="1:11" customFormat="1" ht="20.25" customHeight="1">
      <c r="A67" s="9" t="s">
        <v>144</v>
      </c>
      <c r="B67" s="9" t="s">
        <v>145</v>
      </c>
      <c r="C67" s="9" t="s">
        <v>11</v>
      </c>
      <c r="D67" s="9">
        <v>79</v>
      </c>
      <c r="E67" s="9">
        <v>84</v>
      </c>
      <c r="F67" s="9">
        <v>81</v>
      </c>
      <c r="G67" s="9">
        <v>87</v>
      </c>
      <c r="H67" s="9">
        <f t="shared" ref="H67:H101" si="3">SUM(D67:G67)</f>
        <v>331</v>
      </c>
      <c r="I67" s="11">
        <f t="shared" ref="I67:I101" si="4">H67/400</f>
        <v>0.82750000000000001</v>
      </c>
      <c r="J67" s="9" t="str">
        <f t="shared" ref="J67:J101" si="5">IF(MIN(D67:G67)&gt;=40,"PASS","FAIL")</f>
        <v>PASS</v>
      </c>
      <c r="K67" s="9" t="str" cm="1">
        <f t="array" ref="K67">_xlfn.IFS(I67&gt;=95%,"A+",I67&gt;=85%,"A",I67&gt;=75%,"B",I67&gt;=65%,"C",I67&gt;=40%,"D",I67&gt;=0%,"F")</f>
        <v>B</v>
      </c>
    </row>
    <row r="68" spans="1:11" customFormat="1" ht="20.25" customHeight="1">
      <c r="A68" s="9" t="s">
        <v>146</v>
      </c>
      <c r="B68" s="9" t="s">
        <v>147</v>
      </c>
      <c r="C68" s="9" t="s">
        <v>21</v>
      </c>
      <c r="D68" s="9">
        <v>53</v>
      </c>
      <c r="E68" s="9">
        <v>57</v>
      </c>
      <c r="F68" s="9">
        <v>50</v>
      </c>
      <c r="G68" s="9">
        <v>61</v>
      </c>
      <c r="H68" s="9">
        <f t="shared" si="3"/>
        <v>221</v>
      </c>
      <c r="I68" s="11">
        <f t="shared" si="4"/>
        <v>0.55249999999999999</v>
      </c>
      <c r="J68" s="9" t="str">
        <f t="shared" si="5"/>
        <v>PASS</v>
      </c>
      <c r="K68" s="9" t="str" cm="1">
        <f t="array" ref="K68">_xlfn.IFS(I68&gt;=95%,"A+",I68&gt;=85%,"A",I68&gt;=75%,"B",I68&gt;=65%,"C",I68&gt;=40%,"D",I68&gt;=0%,"F")</f>
        <v>D</v>
      </c>
    </row>
    <row r="69" spans="1:11" customFormat="1" ht="20.25" customHeight="1">
      <c r="A69" s="9" t="s">
        <v>148</v>
      </c>
      <c r="B69" s="9" t="s">
        <v>149</v>
      </c>
      <c r="C69" s="9" t="s">
        <v>18</v>
      </c>
      <c r="D69" s="9">
        <v>88</v>
      </c>
      <c r="E69" s="9">
        <v>92</v>
      </c>
      <c r="F69" s="9">
        <v>86</v>
      </c>
      <c r="G69" s="9">
        <v>90</v>
      </c>
      <c r="H69" s="9">
        <f t="shared" si="3"/>
        <v>356</v>
      </c>
      <c r="I69" s="11">
        <f t="shared" si="4"/>
        <v>0.89</v>
      </c>
      <c r="J69" s="9" t="str">
        <f t="shared" si="5"/>
        <v>PASS</v>
      </c>
      <c r="K69" s="9" t="str" cm="1">
        <f t="array" ref="K69">_xlfn.IFS(I69&gt;=95%,"A+",I69&gt;=85%,"A",I69&gt;=75%,"B",I69&gt;=65%,"C",I69&gt;=40%,"D",I69&gt;=0%,"F")</f>
        <v>A</v>
      </c>
    </row>
    <row r="70" spans="1:11" customFormat="1" ht="20.25" customHeight="1">
      <c r="A70" s="9" t="s">
        <v>150</v>
      </c>
      <c r="B70" s="9" t="s">
        <v>151</v>
      </c>
      <c r="C70" s="9" t="s">
        <v>11</v>
      </c>
      <c r="D70" s="9">
        <v>68</v>
      </c>
      <c r="E70" s="9">
        <v>74</v>
      </c>
      <c r="F70" s="9">
        <v>71</v>
      </c>
      <c r="G70" s="9">
        <v>76</v>
      </c>
      <c r="H70" s="9">
        <f t="shared" si="3"/>
        <v>289</v>
      </c>
      <c r="I70" s="11">
        <f t="shared" si="4"/>
        <v>0.72250000000000003</v>
      </c>
      <c r="J70" s="9" t="str">
        <f t="shared" si="5"/>
        <v>PASS</v>
      </c>
      <c r="K70" s="9" t="str" cm="1">
        <f t="array" ref="K70">_xlfn.IFS(I70&gt;=95%,"A+",I70&gt;=85%,"A",I70&gt;=75%,"B",I70&gt;=65%,"C",I70&gt;=40%,"D",I70&gt;=0%,"F")</f>
        <v>C</v>
      </c>
    </row>
    <row r="71" spans="1:11" customFormat="1" ht="20.25" customHeight="1">
      <c r="A71" s="9" t="s">
        <v>152</v>
      </c>
      <c r="B71" s="9" t="s">
        <v>153</v>
      </c>
      <c r="C71" s="9" t="s">
        <v>21</v>
      </c>
      <c r="D71" s="9">
        <v>95</v>
      </c>
      <c r="E71" s="9">
        <v>89</v>
      </c>
      <c r="F71" s="9">
        <v>94</v>
      </c>
      <c r="G71" s="9">
        <v>96</v>
      </c>
      <c r="H71" s="9">
        <f t="shared" si="3"/>
        <v>374</v>
      </c>
      <c r="I71" s="11">
        <f t="shared" si="4"/>
        <v>0.93500000000000005</v>
      </c>
      <c r="J71" s="9" t="str">
        <f t="shared" si="5"/>
        <v>PASS</v>
      </c>
      <c r="K71" s="9" t="str" cm="1">
        <f t="array" ref="K71">_xlfn.IFS(I71&gt;=95%,"A+",I71&gt;=85%,"A",I71&gt;=75%,"B",I71&gt;=65%,"C",I71&gt;=40%,"D",I71&gt;=0%,"F")</f>
        <v>A</v>
      </c>
    </row>
    <row r="72" spans="1:11" customFormat="1" ht="20.25" customHeight="1">
      <c r="A72" s="9" t="s">
        <v>154</v>
      </c>
      <c r="B72" s="9" t="s">
        <v>155</v>
      </c>
      <c r="C72" s="9" t="s">
        <v>18</v>
      </c>
      <c r="D72" s="9">
        <v>39</v>
      </c>
      <c r="E72" s="9">
        <v>46</v>
      </c>
      <c r="F72" s="9">
        <v>42</v>
      </c>
      <c r="G72" s="9">
        <v>51</v>
      </c>
      <c r="H72" s="9">
        <f t="shared" si="3"/>
        <v>178</v>
      </c>
      <c r="I72" s="11">
        <f t="shared" si="4"/>
        <v>0.44500000000000001</v>
      </c>
      <c r="J72" s="9" t="str">
        <f t="shared" si="5"/>
        <v>FAIL</v>
      </c>
      <c r="K72" s="9" t="str" cm="1">
        <f t="array" ref="K72">_xlfn.IFS(I72&gt;=95%,"A+",I72&gt;=85%,"A",I72&gt;=75%,"B",I72&gt;=65%,"C",I72&gt;=40%,"D",I72&gt;=0%,"F")</f>
        <v>D</v>
      </c>
    </row>
    <row r="73" spans="1:11" customFormat="1" ht="20.25" customHeight="1">
      <c r="A73" s="9" t="s">
        <v>156</v>
      </c>
      <c r="B73" s="9" t="s">
        <v>157</v>
      </c>
      <c r="C73" s="9" t="s">
        <v>11</v>
      </c>
      <c r="D73" s="9">
        <v>81</v>
      </c>
      <c r="E73" s="9">
        <v>86</v>
      </c>
      <c r="F73" s="9">
        <v>83</v>
      </c>
      <c r="G73" s="9">
        <v>88</v>
      </c>
      <c r="H73" s="9">
        <f t="shared" si="3"/>
        <v>338</v>
      </c>
      <c r="I73" s="11">
        <f t="shared" si="4"/>
        <v>0.84499999999999997</v>
      </c>
      <c r="J73" s="9" t="str">
        <f t="shared" si="5"/>
        <v>PASS</v>
      </c>
      <c r="K73" s="9" t="str" cm="1">
        <f t="array" ref="K73">_xlfn.IFS(I73&gt;=95%,"A+",I73&gt;=85%,"A",I73&gt;=75%,"B",I73&gt;=65%,"C",I73&gt;=40%,"D",I73&gt;=0%,"F")</f>
        <v>B</v>
      </c>
    </row>
    <row r="74" spans="1:11" customFormat="1" ht="20.25" customHeight="1">
      <c r="A74" s="9" t="s">
        <v>158</v>
      </c>
      <c r="B74" s="9" t="s">
        <v>159</v>
      </c>
      <c r="C74" s="9" t="s">
        <v>21</v>
      </c>
      <c r="D74" s="9">
        <v>74</v>
      </c>
      <c r="E74" s="9">
        <v>69</v>
      </c>
      <c r="F74" s="9">
        <v>77</v>
      </c>
      <c r="G74" s="9">
        <v>82</v>
      </c>
      <c r="H74" s="9">
        <f t="shared" si="3"/>
        <v>302</v>
      </c>
      <c r="I74" s="11">
        <f t="shared" si="4"/>
        <v>0.755</v>
      </c>
      <c r="J74" s="9" t="str">
        <f t="shared" si="5"/>
        <v>PASS</v>
      </c>
      <c r="K74" s="9" t="str" cm="1">
        <f t="array" ref="K74">_xlfn.IFS(I74&gt;=95%,"A+",I74&gt;=85%,"A",I74&gt;=75%,"B",I74&gt;=65%,"C",I74&gt;=40%,"D",I74&gt;=0%,"F")</f>
        <v>B</v>
      </c>
    </row>
    <row r="75" spans="1:11" customFormat="1" ht="20.25" customHeight="1">
      <c r="A75" s="9" t="s">
        <v>160</v>
      </c>
      <c r="B75" s="9" t="s">
        <v>161</v>
      </c>
      <c r="C75" s="9" t="s">
        <v>18</v>
      </c>
      <c r="D75" s="9">
        <v>92</v>
      </c>
      <c r="E75" s="9">
        <v>96</v>
      </c>
      <c r="F75" s="9">
        <v>91</v>
      </c>
      <c r="G75" s="9">
        <v>95</v>
      </c>
      <c r="H75" s="9">
        <f t="shared" si="3"/>
        <v>374</v>
      </c>
      <c r="I75" s="11">
        <f t="shared" si="4"/>
        <v>0.93500000000000005</v>
      </c>
      <c r="J75" s="9" t="str">
        <f t="shared" si="5"/>
        <v>PASS</v>
      </c>
      <c r="K75" s="9" t="str" cm="1">
        <f t="array" ref="K75">_xlfn.IFS(I75&gt;=95%,"A+",I75&gt;=85%,"A",I75&gt;=75%,"B",I75&gt;=65%,"C",I75&gt;=40%,"D",I75&gt;=0%,"F")</f>
        <v>A</v>
      </c>
    </row>
    <row r="76" spans="1:11" customFormat="1" ht="20.25" customHeight="1">
      <c r="A76" s="9" t="s">
        <v>162</v>
      </c>
      <c r="B76" s="9" t="s">
        <v>163</v>
      </c>
      <c r="C76" s="9" t="s">
        <v>11</v>
      </c>
      <c r="D76" s="9">
        <v>58</v>
      </c>
      <c r="E76" s="9">
        <v>54</v>
      </c>
      <c r="F76" s="9">
        <v>60</v>
      </c>
      <c r="G76" s="9">
        <v>67</v>
      </c>
      <c r="H76" s="9">
        <f t="shared" si="3"/>
        <v>239</v>
      </c>
      <c r="I76" s="11">
        <f t="shared" si="4"/>
        <v>0.59750000000000003</v>
      </c>
      <c r="J76" s="9" t="str">
        <f t="shared" si="5"/>
        <v>PASS</v>
      </c>
      <c r="K76" s="9" t="str" cm="1">
        <f t="array" ref="K76">_xlfn.IFS(I76&gt;=95%,"A+",I76&gt;=85%,"A",I76&gt;=75%,"B",I76&gt;=65%,"C",I76&gt;=40%,"D",I76&gt;=0%,"F")</f>
        <v>D</v>
      </c>
    </row>
    <row r="77" spans="1:11" customFormat="1" ht="20.25" customHeight="1">
      <c r="A77" s="9" t="s">
        <v>164</v>
      </c>
      <c r="B77" s="9" t="s">
        <v>165</v>
      </c>
      <c r="C77" s="9" t="s">
        <v>21</v>
      </c>
      <c r="D77" s="9">
        <v>77</v>
      </c>
      <c r="E77" s="9">
        <v>81</v>
      </c>
      <c r="F77" s="9">
        <v>75</v>
      </c>
      <c r="G77" s="9">
        <v>84</v>
      </c>
      <c r="H77" s="9">
        <f t="shared" si="3"/>
        <v>317</v>
      </c>
      <c r="I77" s="11">
        <f t="shared" si="4"/>
        <v>0.79249999999999998</v>
      </c>
      <c r="J77" s="9" t="str">
        <f t="shared" si="5"/>
        <v>PASS</v>
      </c>
      <c r="K77" s="9" t="str" cm="1">
        <f t="array" ref="K77">_xlfn.IFS(I77&gt;=95%,"A+",I77&gt;=85%,"A",I77&gt;=75%,"B",I77&gt;=65%,"C",I77&gt;=40%,"D",I77&gt;=0%,"F")</f>
        <v>B</v>
      </c>
    </row>
    <row r="78" spans="1:11" customFormat="1" ht="20.25" customHeight="1">
      <c r="A78" s="9" t="s">
        <v>166</v>
      </c>
      <c r="B78" s="9" t="s">
        <v>167</v>
      </c>
      <c r="C78" s="9" t="s">
        <v>18</v>
      </c>
      <c r="D78" s="9">
        <v>85</v>
      </c>
      <c r="E78" s="9">
        <v>88</v>
      </c>
      <c r="F78" s="9">
        <v>82</v>
      </c>
      <c r="G78" s="9">
        <v>91</v>
      </c>
      <c r="H78" s="9">
        <f t="shared" si="3"/>
        <v>346</v>
      </c>
      <c r="I78" s="11">
        <f t="shared" si="4"/>
        <v>0.86499999999999999</v>
      </c>
      <c r="J78" s="9" t="str">
        <f t="shared" si="5"/>
        <v>PASS</v>
      </c>
      <c r="K78" s="9" t="str" cm="1">
        <f t="array" ref="K78">_xlfn.IFS(I78&gt;=95%,"A+",I78&gt;=85%,"A",I78&gt;=75%,"B",I78&gt;=65%,"C",I78&gt;=40%,"D",I78&gt;=0%,"F")</f>
        <v>A</v>
      </c>
    </row>
    <row r="79" spans="1:11" customFormat="1" ht="20.25" customHeight="1">
      <c r="A79" s="9" t="s">
        <v>168</v>
      </c>
      <c r="B79" s="9" t="s">
        <v>169</v>
      </c>
      <c r="C79" s="9" t="s">
        <v>11</v>
      </c>
      <c r="D79" s="9">
        <v>70</v>
      </c>
      <c r="E79" s="9">
        <v>76</v>
      </c>
      <c r="F79" s="9">
        <v>73</v>
      </c>
      <c r="G79" s="9">
        <v>79</v>
      </c>
      <c r="H79" s="9">
        <f t="shared" si="3"/>
        <v>298</v>
      </c>
      <c r="I79" s="11">
        <f t="shared" si="4"/>
        <v>0.745</v>
      </c>
      <c r="J79" s="9" t="str">
        <f t="shared" si="5"/>
        <v>PASS</v>
      </c>
      <c r="K79" s="9" t="str" cm="1">
        <f t="array" ref="K79">_xlfn.IFS(I79&gt;=95%,"A+",I79&gt;=85%,"A",I79&gt;=75%,"B",I79&gt;=65%,"C",I79&gt;=40%,"D",I79&gt;=0%,"F")</f>
        <v>C</v>
      </c>
    </row>
    <row r="80" spans="1:11" customFormat="1" ht="20.25" customHeight="1">
      <c r="A80" s="9" t="s">
        <v>170</v>
      </c>
      <c r="B80" s="9" t="s">
        <v>171</v>
      </c>
      <c r="C80" s="9" t="s">
        <v>21</v>
      </c>
      <c r="D80" s="9">
        <v>43</v>
      </c>
      <c r="E80" s="9">
        <v>49</v>
      </c>
      <c r="F80" s="9">
        <v>45</v>
      </c>
      <c r="G80" s="9">
        <v>54</v>
      </c>
      <c r="H80" s="9">
        <f t="shared" si="3"/>
        <v>191</v>
      </c>
      <c r="I80" s="11">
        <f t="shared" si="4"/>
        <v>0.47749999999999998</v>
      </c>
      <c r="J80" s="9" t="str">
        <f t="shared" si="5"/>
        <v>PASS</v>
      </c>
      <c r="K80" s="9" t="str" cm="1">
        <f t="array" ref="K80">_xlfn.IFS(I80&gt;=95%,"A+",I80&gt;=85%,"A",I80&gt;=75%,"B",I80&gt;=65%,"C",I80&gt;=40%,"D",I80&gt;=0%,"F")</f>
        <v>D</v>
      </c>
    </row>
    <row r="81" spans="1:11" customFormat="1" ht="20.25" customHeight="1">
      <c r="A81" s="9" t="s">
        <v>172</v>
      </c>
      <c r="B81" s="9" t="s">
        <v>173</v>
      </c>
      <c r="C81" s="9" t="s">
        <v>18</v>
      </c>
      <c r="D81" s="9">
        <v>90</v>
      </c>
      <c r="E81" s="9">
        <v>87</v>
      </c>
      <c r="F81" s="9">
        <v>93</v>
      </c>
      <c r="G81" s="9">
        <v>96</v>
      </c>
      <c r="H81" s="9">
        <f t="shared" si="3"/>
        <v>366</v>
      </c>
      <c r="I81" s="11">
        <f t="shared" si="4"/>
        <v>0.91500000000000004</v>
      </c>
      <c r="J81" s="9" t="str">
        <f t="shared" si="5"/>
        <v>PASS</v>
      </c>
      <c r="K81" s="9" t="str" cm="1">
        <f t="array" ref="K81">_xlfn.IFS(I81&gt;=95%,"A+",I81&gt;=85%,"A",I81&gt;=75%,"B",I81&gt;=65%,"C",I81&gt;=40%,"D",I81&gt;=0%,"F")</f>
        <v>A</v>
      </c>
    </row>
    <row r="82" spans="1:11" customFormat="1" ht="20.25" customHeight="1">
      <c r="A82" s="9" t="s">
        <v>174</v>
      </c>
      <c r="B82" s="9" t="s">
        <v>175</v>
      </c>
      <c r="C82" s="9" t="s">
        <v>11</v>
      </c>
      <c r="D82" s="9">
        <v>64</v>
      </c>
      <c r="E82" s="9">
        <v>69</v>
      </c>
      <c r="F82" s="9">
        <v>66</v>
      </c>
      <c r="G82" s="9">
        <v>72</v>
      </c>
      <c r="H82" s="9">
        <f t="shared" si="3"/>
        <v>271</v>
      </c>
      <c r="I82" s="11">
        <f t="shared" si="4"/>
        <v>0.67749999999999999</v>
      </c>
      <c r="J82" s="9" t="str">
        <f t="shared" si="5"/>
        <v>PASS</v>
      </c>
      <c r="K82" s="9" t="str" cm="1">
        <f t="array" ref="K82">_xlfn.IFS(I82&gt;=95%,"A+",I82&gt;=85%,"A",I82&gt;=75%,"B",I82&gt;=65%,"C",I82&gt;=40%,"D",I82&gt;=0%,"F")</f>
        <v>C</v>
      </c>
    </row>
    <row r="83" spans="1:11" customFormat="1" ht="20.25" customHeight="1">
      <c r="A83" s="9" t="s">
        <v>176</v>
      </c>
      <c r="B83" s="9" t="s">
        <v>177</v>
      </c>
      <c r="C83" s="9" t="s">
        <v>21</v>
      </c>
      <c r="D83" s="9">
        <v>83</v>
      </c>
      <c r="E83" s="9">
        <v>79</v>
      </c>
      <c r="F83" s="9">
        <v>87</v>
      </c>
      <c r="G83" s="9">
        <v>89</v>
      </c>
      <c r="H83" s="9">
        <f t="shared" si="3"/>
        <v>338</v>
      </c>
      <c r="I83" s="11">
        <f t="shared" si="4"/>
        <v>0.84499999999999997</v>
      </c>
      <c r="J83" s="9" t="str">
        <f t="shared" si="5"/>
        <v>PASS</v>
      </c>
      <c r="K83" s="9" t="str" cm="1">
        <f t="array" ref="K83">_xlfn.IFS(I83&gt;=95%,"A+",I83&gt;=85%,"A",I83&gt;=75%,"B",I83&gt;=65%,"C",I83&gt;=40%,"D",I83&gt;=0%,"F")</f>
        <v>B</v>
      </c>
    </row>
    <row r="84" spans="1:11" customFormat="1" ht="20.25" customHeight="1">
      <c r="A84" s="9" t="s">
        <v>178</v>
      </c>
      <c r="B84" s="9" t="s">
        <v>179</v>
      </c>
      <c r="C84" s="9" t="s">
        <v>18</v>
      </c>
      <c r="D84" s="9">
        <v>51</v>
      </c>
      <c r="E84" s="9">
        <v>56</v>
      </c>
      <c r="F84" s="9">
        <v>54</v>
      </c>
      <c r="G84" s="9">
        <v>63</v>
      </c>
      <c r="H84" s="9">
        <f t="shared" si="3"/>
        <v>224</v>
      </c>
      <c r="I84" s="11">
        <f t="shared" si="4"/>
        <v>0.56000000000000005</v>
      </c>
      <c r="J84" s="9" t="str">
        <f t="shared" si="5"/>
        <v>PASS</v>
      </c>
      <c r="K84" s="9" t="str" cm="1">
        <f t="array" ref="K84">_xlfn.IFS(I84&gt;=95%,"A+",I84&gt;=85%,"A",I84&gt;=75%,"B",I84&gt;=65%,"C",I84&gt;=40%,"D",I84&gt;=0%,"F")</f>
        <v>D</v>
      </c>
    </row>
    <row r="85" spans="1:11" customFormat="1" ht="20.25" customHeight="1">
      <c r="A85" s="9" t="s">
        <v>180</v>
      </c>
      <c r="B85" s="9" t="s">
        <v>181</v>
      </c>
      <c r="C85" s="9" t="s">
        <v>11</v>
      </c>
      <c r="D85" s="9">
        <v>96</v>
      </c>
      <c r="E85" s="9">
        <v>94</v>
      </c>
      <c r="F85" s="9">
        <v>97</v>
      </c>
      <c r="G85" s="9">
        <v>98</v>
      </c>
      <c r="H85" s="9">
        <f t="shared" si="3"/>
        <v>385</v>
      </c>
      <c r="I85" s="11">
        <f t="shared" si="4"/>
        <v>0.96250000000000002</v>
      </c>
      <c r="J85" s="9" t="str">
        <f t="shared" si="5"/>
        <v>PASS</v>
      </c>
      <c r="K85" s="9" t="str" cm="1">
        <f t="array" ref="K85">_xlfn.IFS(I85&gt;=95%,"A+",I85&gt;=85%,"A",I85&gt;=75%,"B",I85&gt;=65%,"C",I85&gt;=40%,"D",I85&gt;=0%,"F")</f>
        <v>A+</v>
      </c>
    </row>
    <row r="86" spans="1:11" customFormat="1" ht="20.25" customHeight="1">
      <c r="A86" s="9" t="s">
        <v>182</v>
      </c>
      <c r="B86" s="9" t="s">
        <v>183</v>
      </c>
      <c r="C86" s="9" t="s">
        <v>21</v>
      </c>
      <c r="D86" s="9">
        <v>72</v>
      </c>
      <c r="E86" s="9">
        <v>77</v>
      </c>
      <c r="F86" s="9">
        <v>70</v>
      </c>
      <c r="G86" s="9">
        <v>81</v>
      </c>
      <c r="H86" s="9">
        <f t="shared" si="3"/>
        <v>300</v>
      </c>
      <c r="I86" s="11">
        <f t="shared" si="4"/>
        <v>0.75</v>
      </c>
      <c r="J86" s="9" t="str">
        <f t="shared" si="5"/>
        <v>PASS</v>
      </c>
      <c r="K86" s="9" t="str" cm="1">
        <f t="array" ref="K86">_xlfn.IFS(I86&gt;=95%,"A+",I86&gt;=85%,"A",I86&gt;=75%,"B",I86&gt;=65%,"C",I86&gt;=40%,"D",I86&gt;=0%,"F")</f>
        <v>B</v>
      </c>
    </row>
    <row r="87" spans="1:11" customFormat="1" ht="20.25" customHeight="1">
      <c r="A87" s="9" t="s">
        <v>184</v>
      </c>
      <c r="B87" s="9" t="s">
        <v>185</v>
      </c>
      <c r="C87" s="9" t="s">
        <v>18</v>
      </c>
      <c r="D87" s="9">
        <v>79</v>
      </c>
      <c r="E87" s="9">
        <v>85</v>
      </c>
      <c r="F87" s="9">
        <v>82</v>
      </c>
      <c r="G87" s="9">
        <v>86</v>
      </c>
      <c r="H87" s="9">
        <f t="shared" si="3"/>
        <v>332</v>
      </c>
      <c r="I87" s="11">
        <f t="shared" si="4"/>
        <v>0.83</v>
      </c>
      <c r="J87" s="9" t="str">
        <f t="shared" si="5"/>
        <v>PASS</v>
      </c>
      <c r="K87" s="9" t="str" cm="1">
        <f t="array" ref="K87">_xlfn.IFS(I87&gt;=95%,"A+",I87&gt;=85%,"A",I87&gt;=75%,"B",I87&gt;=65%,"C",I87&gt;=40%,"D",I87&gt;=0%,"F")</f>
        <v>B</v>
      </c>
    </row>
    <row r="88" spans="1:11" customFormat="1" ht="20.25" customHeight="1">
      <c r="A88" s="9" t="s">
        <v>186</v>
      </c>
      <c r="B88" s="9" t="s">
        <v>187</v>
      </c>
      <c r="C88" s="9" t="s">
        <v>11</v>
      </c>
      <c r="D88" s="9">
        <v>46</v>
      </c>
      <c r="E88" s="9">
        <v>52</v>
      </c>
      <c r="F88" s="9">
        <v>48</v>
      </c>
      <c r="G88" s="9">
        <v>57</v>
      </c>
      <c r="H88" s="9">
        <f t="shared" si="3"/>
        <v>203</v>
      </c>
      <c r="I88" s="11">
        <f t="shared" si="4"/>
        <v>0.50749999999999995</v>
      </c>
      <c r="J88" s="9" t="str">
        <f t="shared" si="5"/>
        <v>PASS</v>
      </c>
      <c r="K88" s="9" t="str" cm="1">
        <f t="array" ref="K88">_xlfn.IFS(I88&gt;=95%,"A+",I88&gt;=85%,"A",I88&gt;=75%,"B",I88&gt;=65%,"C",I88&gt;=40%,"D",I88&gt;=0%,"F")</f>
        <v>D</v>
      </c>
    </row>
    <row r="89" spans="1:11" customFormat="1" ht="20.25" customHeight="1">
      <c r="A89" s="9" t="s">
        <v>188</v>
      </c>
      <c r="B89" s="9" t="s">
        <v>189</v>
      </c>
      <c r="C89" s="9" t="s">
        <v>21</v>
      </c>
      <c r="D89" s="9">
        <v>87</v>
      </c>
      <c r="E89" s="9">
        <v>91</v>
      </c>
      <c r="F89" s="9">
        <v>89</v>
      </c>
      <c r="G89" s="9">
        <v>94</v>
      </c>
      <c r="H89" s="9">
        <f t="shared" si="3"/>
        <v>361</v>
      </c>
      <c r="I89" s="11">
        <f t="shared" si="4"/>
        <v>0.90249999999999997</v>
      </c>
      <c r="J89" s="9" t="str">
        <f t="shared" si="5"/>
        <v>PASS</v>
      </c>
      <c r="K89" s="9" t="str" cm="1">
        <f t="array" ref="K89">_xlfn.IFS(I89&gt;=95%,"A+",I89&gt;=85%,"A",I89&gt;=75%,"B",I89&gt;=65%,"C",I89&gt;=40%,"D",I89&gt;=0%,"F")</f>
        <v>A</v>
      </c>
    </row>
    <row r="90" spans="1:11" customFormat="1" ht="20.25" customHeight="1">
      <c r="A90" s="9" t="s">
        <v>190</v>
      </c>
      <c r="B90" s="9" t="s">
        <v>191</v>
      </c>
      <c r="C90" s="9" t="s">
        <v>18</v>
      </c>
      <c r="D90" s="9">
        <v>61</v>
      </c>
      <c r="E90" s="9">
        <v>66</v>
      </c>
      <c r="F90" s="9">
        <v>63</v>
      </c>
      <c r="G90" s="9">
        <v>71</v>
      </c>
      <c r="H90" s="9">
        <f t="shared" si="3"/>
        <v>261</v>
      </c>
      <c r="I90" s="11">
        <f t="shared" si="4"/>
        <v>0.65249999999999997</v>
      </c>
      <c r="J90" s="9" t="str">
        <f t="shared" si="5"/>
        <v>PASS</v>
      </c>
      <c r="K90" s="9" t="str" cm="1">
        <f t="array" ref="K90">_xlfn.IFS(I90&gt;=95%,"A+",I90&gt;=85%,"A",I90&gt;=75%,"B",I90&gt;=65%,"C",I90&gt;=40%,"D",I90&gt;=0%,"F")</f>
        <v>C</v>
      </c>
    </row>
    <row r="91" spans="1:11" customFormat="1" ht="20.25" customHeight="1">
      <c r="A91" s="9" t="s">
        <v>192</v>
      </c>
      <c r="B91" s="9" t="s">
        <v>193</v>
      </c>
      <c r="C91" s="9" t="s">
        <v>11</v>
      </c>
      <c r="D91" s="9">
        <v>93</v>
      </c>
      <c r="E91" s="9">
        <v>95</v>
      </c>
      <c r="F91" s="9">
        <v>92</v>
      </c>
      <c r="G91" s="9">
        <v>97</v>
      </c>
      <c r="H91" s="9">
        <f t="shared" si="3"/>
        <v>377</v>
      </c>
      <c r="I91" s="11">
        <f t="shared" si="4"/>
        <v>0.9425</v>
      </c>
      <c r="J91" s="9" t="str">
        <f t="shared" si="5"/>
        <v>PASS</v>
      </c>
      <c r="K91" s="9" t="str" cm="1">
        <f t="array" ref="K91">_xlfn.IFS(I91&gt;=95%,"A+",I91&gt;=85%,"A",I91&gt;=75%,"B",I91&gt;=65%,"C",I91&gt;=40%,"D",I91&gt;=0%,"F")</f>
        <v>A</v>
      </c>
    </row>
    <row r="92" spans="1:11" customFormat="1" ht="20.25" customHeight="1">
      <c r="A92" s="9" t="s">
        <v>194</v>
      </c>
      <c r="B92" s="9" t="s">
        <v>195</v>
      </c>
      <c r="C92" s="9" t="s">
        <v>21</v>
      </c>
      <c r="D92" s="9">
        <v>56</v>
      </c>
      <c r="E92" s="9">
        <v>62</v>
      </c>
      <c r="F92" s="9">
        <v>58</v>
      </c>
      <c r="G92" s="9">
        <v>65</v>
      </c>
      <c r="H92" s="9">
        <f t="shared" si="3"/>
        <v>241</v>
      </c>
      <c r="I92" s="11">
        <f t="shared" si="4"/>
        <v>0.60250000000000004</v>
      </c>
      <c r="J92" s="9" t="str">
        <f t="shared" si="5"/>
        <v>PASS</v>
      </c>
      <c r="K92" s="9" t="str" cm="1">
        <f t="array" ref="K92">_xlfn.IFS(I92&gt;=95%,"A+",I92&gt;=85%,"A",I92&gt;=75%,"B",I92&gt;=65%,"C",I92&gt;=40%,"D",I92&gt;=0%,"F")</f>
        <v>D</v>
      </c>
    </row>
    <row r="93" spans="1:11" customFormat="1" ht="20.25" customHeight="1">
      <c r="A93" s="9" t="s">
        <v>196</v>
      </c>
      <c r="B93" s="9" t="s">
        <v>197</v>
      </c>
      <c r="C93" s="9" t="s">
        <v>18</v>
      </c>
      <c r="D93" s="9">
        <v>82</v>
      </c>
      <c r="E93" s="9">
        <v>80</v>
      </c>
      <c r="F93" s="9">
        <v>85</v>
      </c>
      <c r="G93" s="9">
        <v>88</v>
      </c>
      <c r="H93" s="9">
        <f t="shared" si="3"/>
        <v>335</v>
      </c>
      <c r="I93" s="11">
        <f t="shared" si="4"/>
        <v>0.83750000000000002</v>
      </c>
      <c r="J93" s="9" t="str">
        <f t="shared" si="5"/>
        <v>PASS</v>
      </c>
      <c r="K93" s="9" t="str" cm="1">
        <f t="array" ref="K93">_xlfn.IFS(I93&gt;=95%,"A+",I93&gt;=85%,"A",I93&gt;=75%,"B",I93&gt;=65%,"C",I93&gt;=40%,"D",I93&gt;=0%,"F")</f>
        <v>B</v>
      </c>
    </row>
    <row r="94" spans="1:11" customFormat="1" ht="20.25" customHeight="1">
      <c r="A94" s="9" t="s">
        <v>198</v>
      </c>
      <c r="B94" s="9" t="s">
        <v>199</v>
      </c>
      <c r="C94" s="9" t="s">
        <v>11</v>
      </c>
      <c r="D94" s="9">
        <v>69</v>
      </c>
      <c r="E94" s="9">
        <v>73</v>
      </c>
      <c r="F94" s="9">
        <v>67</v>
      </c>
      <c r="G94" s="9">
        <v>76</v>
      </c>
      <c r="H94" s="9">
        <f t="shared" si="3"/>
        <v>285</v>
      </c>
      <c r="I94" s="11">
        <f t="shared" si="4"/>
        <v>0.71250000000000002</v>
      </c>
      <c r="J94" s="9" t="str">
        <f t="shared" si="5"/>
        <v>PASS</v>
      </c>
      <c r="K94" s="9" t="str" cm="1">
        <f t="array" ref="K94">_xlfn.IFS(I94&gt;=95%,"A+",I94&gt;=85%,"A",I94&gt;=75%,"B",I94&gt;=65%,"C",I94&gt;=40%,"D",I94&gt;=0%,"F")</f>
        <v>C</v>
      </c>
    </row>
    <row r="95" spans="1:11" customFormat="1" ht="20.25" customHeight="1">
      <c r="A95" s="9" t="s">
        <v>200</v>
      </c>
      <c r="B95" s="9" t="s">
        <v>201</v>
      </c>
      <c r="C95" s="9" t="s">
        <v>21</v>
      </c>
      <c r="D95" s="9">
        <v>91</v>
      </c>
      <c r="E95" s="9">
        <v>89</v>
      </c>
      <c r="F95" s="9">
        <v>94</v>
      </c>
      <c r="G95" s="9">
        <v>96</v>
      </c>
      <c r="H95" s="9">
        <f t="shared" si="3"/>
        <v>370</v>
      </c>
      <c r="I95" s="11">
        <f t="shared" si="4"/>
        <v>0.92500000000000004</v>
      </c>
      <c r="J95" s="9" t="str">
        <f t="shared" si="5"/>
        <v>PASS</v>
      </c>
      <c r="K95" s="9" t="str" cm="1">
        <f t="array" ref="K95">_xlfn.IFS(I95&gt;=95%,"A+",I95&gt;=85%,"A",I95&gt;=75%,"B",I95&gt;=65%,"C",I95&gt;=40%,"D",I95&gt;=0%,"F")</f>
        <v>A</v>
      </c>
    </row>
    <row r="96" spans="1:11" customFormat="1" ht="20.25" customHeight="1">
      <c r="A96" s="9" t="s">
        <v>202</v>
      </c>
      <c r="B96" s="9" t="s">
        <v>203</v>
      </c>
      <c r="C96" s="9" t="s">
        <v>18</v>
      </c>
      <c r="D96" s="9">
        <v>37</v>
      </c>
      <c r="E96" s="9">
        <v>44</v>
      </c>
      <c r="F96" s="9">
        <v>41</v>
      </c>
      <c r="G96" s="9">
        <v>50</v>
      </c>
      <c r="H96" s="9">
        <f t="shared" si="3"/>
        <v>172</v>
      </c>
      <c r="I96" s="11">
        <f t="shared" si="4"/>
        <v>0.43</v>
      </c>
      <c r="J96" s="9" t="str">
        <f t="shared" si="5"/>
        <v>FAIL</v>
      </c>
      <c r="K96" s="9" t="str" cm="1">
        <f t="array" ref="K96">_xlfn.IFS(I96&gt;=95%,"A+",I96&gt;=85%,"A",I96&gt;=75%,"B",I96&gt;=65%,"C",I96&gt;=40%,"D",I96&gt;=0%,"F")</f>
        <v>D</v>
      </c>
    </row>
    <row r="97" spans="1:11" customFormat="1" ht="20.25" customHeight="1">
      <c r="A97" s="9" t="s">
        <v>204</v>
      </c>
      <c r="B97" s="9" t="s">
        <v>205</v>
      </c>
      <c r="C97" s="9" t="s">
        <v>11</v>
      </c>
      <c r="D97" s="9">
        <v>76</v>
      </c>
      <c r="E97" s="9">
        <v>83</v>
      </c>
      <c r="F97" s="9">
        <v>78</v>
      </c>
      <c r="G97" s="9">
        <v>85</v>
      </c>
      <c r="H97" s="9">
        <f t="shared" si="3"/>
        <v>322</v>
      </c>
      <c r="I97" s="11">
        <f t="shared" si="4"/>
        <v>0.80500000000000005</v>
      </c>
      <c r="J97" s="9" t="str">
        <f t="shared" si="5"/>
        <v>PASS</v>
      </c>
      <c r="K97" s="9" t="str" cm="1">
        <f t="array" ref="K97">_xlfn.IFS(I97&gt;=95%,"A+",I97&gt;=85%,"A",I97&gt;=75%,"B",I97&gt;=65%,"C",I97&gt;=40%,"D",I97&gt;=0%,"F")</f>
        <v>B</v>
      </c>
    </row>
    <row r="98" spans="1:11" customFormat="1" ht="20.25" customHeight="1">
      <c r="A98" s="9" t="s">
        <v>206</v>
      </c>
      <c r="B98" s="9" t="s">
        <v>207</v>
      </c>
      <c r="C98" s="9" t="s">
        <v>21</v>
      </c>
      <c r="D98" s="9">
        <v>88</v>
      </c>
      <c r="E98" s="9">
        <v>86</v>
      </c>
      <c r="F98" s="9">
        <v>90</v>
      </c>
      <c r="G98" s="9">
        <v>92</v>
      </c>
      <c r="H98" s="9">
        <f t="shared" si="3"/>
        <v>356</v>
      </c>
      <c r="I98" s="11">
        <f t="shared" si="4"/>
        <v>0.89</v>
      </c>
      <c r="J98" s="9" t="str">
        <f t="shared" si="5"/>
        <v>PASS</v>
      </c>
      <c r="K98" s="9" t="str" cm="1">
        <f t="array" ref="K98">_xlfn.IFS(I98&gt;=95%,"A+",I98&gt;=85%,"A",I98&gt;=75%,"B",I98&gt;=65%,"C",I98&gt;=40%,"D",I98&gt;=0%,"F")</f>
        <v>A</v>
      </c>
    </row>
    <row r="99" spans="1:11" customFormat="1" ht="20.25" customHeight="1">
      <c r="A99" s="9" t="s">
        <v>208</v>
      </c>
      <c r="B99" s="9" t="s">
        <v>209</v>
      </c>
      <c r="C99" s="9" t="s">
        <v>18</v>
      </c>
      <c r="D99" s="9">
        <v>63</v>
      </c>
      <c r="E99" s="9">
        <v>70</v>
      </c>
      <c r="F99" s="9">
        <v>65</v>
      </c>
      <c r="G99" s="9">
        <v>73</v>
      </c>
      <c r="H99" s="9">
        <f t="shared" si="3"/>
        <v>271</v>
      </c>
      <c r="I99" s="11">
        <f t="shared" si="4"/>
        <v>0.67749999999999999</v>
      </c>
      <c r="J99" s="9" t="str">
        <f t="shared" si="5"/>
        <v>PASS</v>
      </c>
      <c r="K99" s="9" t="str" cm="1">
        <f t="array" ref="K99">_xlfn.IFS(I99&gt;=95%,"A+",I99&gt;=85%,"A",I99&gt;=75%,"B",I99&gt;=65%,"C",I99&gt;=40%,"D",I99&gt;=0%,"F")</f>
        <v>C</v>
      </c>
    </row>
    <row r="100" spans="1:11" customFormat="1" ht="20.25" customHeight="1">
      <c r="A100" s="9" t="s">
        <v>210</v>
      </c>
      <c r="B100" s="9" t="s">
        <v>211</v>
      </c>
      <c r="C100" s="9" t="s">
        <v>11</v>
      </c>
      <c r="D100" s="9">
        <v>80</v>
      </c>
      <c r="E100" s="9">
        <v>78</v>
      </c>
      <c r="F100" s="9">
        <v>84</v>
      </c>
      <c r="G100" s="9">
        <v>87</v>
      </c>
      <c r="H100" s="9">
        <f t="shared" si="3"/>
        <v>329</v>
      </c>
      <c r="I100" s="11">
        <f t="shared" si="4"/>
        <v>0.82250000000000001</v>
      </c>
      <c r="J100" s="9" t="str">
        <f t="shared" si="5"/>
        <v>PASS</v>
      </c>
      <c r="K100" s="9" t="str" cm="1">
        <f t="array" ref="K100">_xlfn.IFS(I100&gt;=95%,"A+",I100&gt;=85%,"A",I100&gt;=75%,"B",I100&gt;=65%,"C",I100&gt;=40%,"D",I100&gt;=0%,"F")</f>
        <v>B</v>
      </c>
    </row>
    <row r="101" spans="1:11" customFormat="1" ht="20.25" customHeight="1">
      <c r="A101" s="9" t="s">
        <v>212</v>
      </c>
      <c r="B101" s="9" t="s">
        <v>213</v>
      </c>
      <c r="C101" s="9" t="s">
        <v>21</v>
      </c>
      <c r="D101" s="9">
        <v>94</v>
      </c>
      <c r="E101" s="9">
        <v>92</v>
      </c>
      <c r="F101" s="9">
        <v>96</v>
      </c>
      <c r="G101" s="9">
        <v>98</v>
      </c>
      <c r="H101" s="9">
        <f t="shared" si="3"/>
        <v>380</v>
      </c>
      <c r="I101" s="11">
        <f t="shared" si="4"/>
        <v>0.95</v>
      </c>
      <c r="J101" s="9" t="str">
        <f t="shared" si="5"/>
        <v>PASS</v>
      </c>
      <c r="K101" s="9" t="str" cm="1">
        <f t="array" ref="K101">_xlfn.IFS(I101&gt;=95%,"A+",I101&gt;=85%,"A",I101&gt;=75%,"B",I101&gt;=65%,"C",I101&gt;=40%,"D",I101&gt;=0%,"F")</f>
        <v>A+</v>
      </c>
    </row>
    <row r="102" spans="1:11" customFormat="1">
      <c r="A102" s="9"/>
      <c r="B102" s="9"/>
      <c r="C102" s="9"/>
      <c r="D102" s="9"/>
      <c r="E102" s="9"/>
      <c r="F102" s="9"/>
      <c r="G102" s="9"/>
      <c r="H102" s="10"/>
      <c r="I102" s="10"/>
      <c r="J102" s="10"/>
    </row>
    <row r="103" spans="1:11" customFormat="1">
      <c r="A103" s="15"/>
      <c r="B103" s="15"/>
      <c r="C103" s="15"/>
      <c r="D103" s="15"/>
      <c r="E103" s="15"/>
      <c r="F103" s="15"/>
      <c r="G103" s="15"/>
      <c r="H103" s="16"/>
      <c r="I103" s="16"/>
      <c r="J103" s="1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451AB-7752-4E45-A0AA-75F5FEF30F7D}">
  <dimension ref="A1:N101"/>
  <sheetViews>
    <sheetView topLeftCell="I1" workbookViewId="0">
      <selection activeCell="N1" sqref="N1"/>
    </sheetView>
  </sheetViews>
  <sheetFormatPr defaultRowHeight="15"/>
  <cols>
    <col min="1" max="9" width="28.7109375" style="9" customWidth="1"/>
    <col min="10" max="14" width="28.7109375" style="10" customWidth="1"/>
  </cols>
  <sheetData>
    <row r="1" spans="1:14" ht="30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214</v>
      </c>
      <c r="K1" s="4" t="s">
        <v>216</v>
      </c>
      <c r="L1" s="4" t="s">
        <v>219</v>
      </c>
      <c r="M1" s="4" t="s">
        <v>220</v>
      </c>
      <c r="N1" s="4" t="s">
        <v>221</v>
      </c>
    </row>
    <row r="2" spans="1:14" ht="20.25" customHeight="1">
      <c r="A2" s="9" t="s">
        <v>9</v>
      </c>
      <c r="B2" s="9" t="s">
        <v>10</v>
      </c>
      <c r="C2" s="9" t="s">
        <v>11</v>
      </c>
      <c r="D2" s="9" t="s">
        <v>12</v>
      </c>
      <c r="E2" s="9">
        <v>78</v>
      </c>
      <c r="F2" s="9">
        <v>85</v>
      </c>
      <c r="G2" s="9">
        <v>72</v>
      </c>
      <c r="H2" s="9">
        <v>90</v>
      </c>
      <c r="I2" s="11">
        <v>0.92</v>
      </c>
      <c r="J2" s="9">
        <f>SUM(E2:H2)</f>
        <v>325</v>
      </c>
      <c r="K2" s="11">
        <f>J2/400</f>
        <v>0.8125</v>
      </c>
      <c r="L2" s="9" t="str">
        <f>IF(MIN(E2:H2)&gt;=40,"PASS","FAIL")</f>
        <v>PASS</v>
      </c>
      <c r="M2" s="9" t="str">
        <f>IF(I2&gt;=75%,"ELIGIBLE","NOT ELIGIBLE")</f>
        <v>ELIGIBLE</v>
      </c>
      <c r="N2" s="9" t="str" cm="1">
        <f t="array" ref="N2">_xlfn.IFS(I2&gt;=95%,"EXCELLENT",I2&gt;=85%,"VERY GOOD",I2&gt;=75%,"GOOD",I2&gt;=65%,"IMPROVEMENT",I2&gt;=40%,"POOR",I2&gt;=0%,"WORST")</f>
        <v>VERY GOOD</v>
      </c>
    </row>
    <row r="3" spans="1:14" ht="20.25" customHeight="1">
      <c r="A3" s="9" t="s">
        <v>13</v>
      </c>
      <c r="B3" s="9" t="s">
        <v>14</v>
      </c>
      <c r="C3" s="9" t="s">
        <v>11</v>
      </c>
      <c r="D3" s="9" t="s">
        <v>15</v>
      </c>
      <c r="E3" s="9">
        <v>65</v>
      </c>
      <c r="F3" s="9">
        <v>71</v>
      </c>
      <c r="G3" s="9">
        <v>68</v>
      </c>
      <c r="H3" s="9">
        <v>75</v>
      </c>
      <c r="I3" s="11">
        <v>0.87</v>
      </c>
      <c r="J3" s="9">
        <f t="shared" ref="J3:J66" si="0">SUM(E3:H3)</f>
        <v>279</v>
      </c>
      <c r="K3" s="11">
        <f t="shared" ref="K3:K66" si="1">J3/400</f>
        <v>0.69750000000000001</v>
      </c>
      <c r="L3" s="9" t="str">
        <f t="shared" ref="L3:L66" si="2">IF(MIN(E3:H3)&gt;=40,"PASS","FAIL")</f>
        <v>PASS</v>
      </c>
      <c r="M3" s="9" t="str">
        <f t="shared" ref="M3:M66" si="3">IF(I3&gt;=75%,"ELIGIBLE","NOT ELIGIBLE")</f>
        <v>ELIGIBLE</v>
      </c>
      <c r="N3" s="9" t="str" cm="1">
        <f t="array" ref="N3">_xlfn.IFS(I3&gt;=95%,"EXCELLENT",I3&gt;=85%,"VERY GOOD",I3&gt;=75%,"GOOD",I3&gt;=65%,"IMPROVEMENT",I3&gt;=40%,"POOR",I3&gt;=0%,"WORST")</f>
        <v>VERY GOOD</v>
      </c>
    </row>
    <row r="4" spans="1:14" ht="20.25" customHeight="1">
      <c r="A4" s="9" t="s">
        <v>16</v>
      </c>
      <c r="B4" s="9" t="s">
        <v>17</v>
      </c>
      <c r="C4" s="9" t="s">
        <v>18</v>
      </c>
      <c r="D4" s="9" t="s">
        <v>12</v>
      </c>
      <c r="E4" s="9">
        <v>42</v>
      </c>
      <c r="F4" s="9">
        <v>55</v>
      </c>
      <c r="G4" s="9">
        <v>48</v>
      </c>
      <c r="H4" s="9">
        <v>61</v>
      </c>
      <c r="I4" s="11">
        <v>0.74</v>
      </c>
      <c r="J4" s="9">
        <f t="shared" si="0"/>
        <v>206</v>
      </c>
      <c r="K4" s="11">
        <f t="shared" si="1"/>
        <v>0.51500000000000001</v>
      </c>
      <c r="L4" s="9" t="str">
        <f t="shared" si="2"/>
        <v>PASS</v>
      </c>
      <c r="M4" s="9" t="str">
        <f t="shared" si="3"/>
        <v>NOT ELIGIBLE</v>
      </c>
      <c r="N4" s="9" t="str" cm="1">
        <f t="array" ref="N4">_xlfn.IFS(I4&gt;=95%,"EXCELLENT",I4&gt;=85%,"VERY GOOD",I4&gt;=75%,"GOOD",I4&gt;=65%,"IMPROVEMENT",I4&gt;=40%,"POOR",I4&gt;=0%,"WORST")</f>
        <v>IMPROVEMENT</v>
      </c>
    </row>
    <row r="5" spans="1:14" ht="20.25" customHeight="1">
      <c r="A5" s="9" t="s">
        <v>19</v>
      </c>
      <c r="B5" s="9" t="s">
        <v>20</v>
      </c>
      <c r="C5" s="9" t="s">
        <v>21</v>
      </c>
      <c r="D5" s="9" t="s">
        <v>15</v>
      </c>
      <c r="E5" s="9">
        <v>91</v>
      </c>
      <c r="F5" s="9">
        <v>88</v>
      </c>
      <c r="G5" s="9">
        <v>94</v>
      </c>
      <c r="H5" s="9">
        <v>96</v>
      </c>
      <c r="I5" s="11">
        <v>0.98</v>
      </c>
      <c r="J5" s="9">
        <f t="shared" si="0"/>
        <v>369</v>
      </c>
      <c r="K5" s="11">
        <f t="shared" si="1"/>
        <v>0.92249999999999999</v>
      </c>
      <c r="L5" s="9" t="str">
        <f t="shared" si="2"/>
        <v>PASS</v>
      </c>
      <c r="M5" s="9" t="str">
        <f t="shared" si="3"/>
        <v>ELIGIBLE</v>
      </c>
      <c r="N5" s="9" t="str" cm="1">
        <f t="array" ref="N5">_xlfn.IFS(I5&gt;=95%,"EXCELLENT",I5&gt;=85%,"VERY GOOD",I5&gt;=75%,"GOOD",I5&gt;=65%,"IMPROVEMENT",I5&gt;=40%,"POOR",I5&gt;=0%,"WORST")</f>
        <v>EXCELLENT</v>
      </c>
    </row>
    <row r="6" spans="1:14" ht="20.25" customHeight="1">
      <c r="A6" s="9" t="s">
        <v>22</v>
      </c>
      <c r="B6" s="9" t="s">
        <v>23</v>
      </c>
      <c r="C6" s="9" t="s">
        <v>18</v>
      </c>
      <c r="D6" s="9" t="s">
        <v>12</v>
      </c>
      <c r="E6" s="9">
        <v>56</v>
      </c>
      <c r="F6" s="9">
        <v>63</v>
      </c>
      <c r="G6" s="9">
        <v>59</v>
      </c>
      <c r="H6" s="9">
        <v>70</v>
      </c>
      <c r="I6" s="11">
        <v>0.81</v>
      </c>
      <c r="J6" s="9">
        <f t="shared" si="0"/>
        <v>248</v>
      </c>
      <c r="K6" s="11">
        <f t="shared" si="1"/>
        <v>0.62</v>
      </c>
      <c r="L6" s="9" t="str">
        <f t="shared" si="2"/>
        <v>PASS</v>
      </c>
      <c r="M6" s="9" t="str">
        <f t="shared" si="3"/>
        <v>ELIGIBLE</v>
      </c>
      <c r="N6" s="9" t="str" cm="1">
        <f t="array" ref="N6">_xlfn.IFS(I6&gt;=95%,"EXCELLENT",I6&gt;=85%,"VERY GOOD",I6&gt;=75%,"GOOD",I6&gt;=65%,"IMPROVEMENT",I6&gt;=40%,"POOR",I6&gt;=0%,"WORST")</f>
        <v>GOOD</v>
      </c>
    </row>
    <row r="7" spans="1:14" ht="20.25" customHeight="1">
      <c r="A7" s="9" t="s">
        <v>24</v>
      </c>
      <c r="B7" s="9" t="s">
        <v>25</v>
      </c>
      <c r="C7" s="9" t="s">
        <v>11</v>
      </c>
      <c r="D7" s="9" t="s">
        <v>15</v>
      </c>
      <c r="E7" s="9">
        <v>84</v>
      </c>
      <c r="F7" s="9">
        <v>79</v>
      </c>
      <c r="G7" s="9">
        <v>88</v>
      </c>
      <c r="H7" s="9">
        <v>91</v>
      </c>
      <c r="I7" s="11">
        <v>0.95</v>
      </c>
      <c r="J7" s="9">
        <f t="shared" si="0"/>
        <v>342</v>
      </c>
      <c r="K7" s="11">
        <f t="shared" si="1"/>
        <v>0.85499999999999998</v>
      </c>
      <c r="L7" s="9" t="str">
        <f t="shared" si="2"/>
        <v>PASS</v>
      </c>
      <c r="M7" s="9" t="str">
        <f t="shared" si="3"/>
        <v>ELIGIBLE</v>
      </c>
      <c r="N7" s="9" t="str" cm="1">
        <f t="array" ref="N7">_xlfn.IFS(I7&gt;=95%,"EXCELLENT",I7&gt;=85%,"VERY GOOD",I7&gt;=75%,"GOOD",I7&gt;=65%,"IMPROVEMENT",I7&gt;=40%,"POOR",I7&gt;=0%,"WORST")</f>
        <v>EXCELLENT</v>
      </c>
    </row>
    <row r="8" spans="1:14" ht="20.25" customHeight="1">
      <c r="A8" s="9" t="s">
        <v>26</v>
      </c>
      <c r="B8" s="9" t="s">
        <v>27</v>
      </c>
      <c r="C8" s="9" t="s">
        <v>21</v>
      </c>
      <c r="D8" s="9" t="s">
        <v>12</v>
      </c>
      <c r="E8" s="9">
        <v>38</v>
      </c>
      <c r="F8" s="9">
        <v>45</v>
      </c>
      <c r="G8" s="9">
        <v>41</v>
      </c>
      <c r="H8" s="9">
        <v>52</v>
      </c>
      <c r="I8" s="11">
        <v>0.69</v>
      </c>
      <c r="J8" s="9">
        <f t="shared" si="0"/>
        <v>176</v>
      </c>
      <c r="K8" s="11">
        <f t="shared" si="1"/>
        <v>0.44</v>
      </c>
      <c r="L8" s="9" t="str">
        <f t="shared" si="2"/>
        <v>FAIL</v>
      </c>
      <c r="M8" s="9" t="str">
        <f t="shared" si="3"/>
        <v>NOT ELIGIBLE</v>
      </c>
      <c r="N8" s="9" t="str" cm="1">
        <f t="array" ref="N8">_xlfn.IFS(I8&gt;=95%,"EXCELLENT",I8&gt;=85%,"VERY GOOD",I8&gt;=75%,"GOOD",I8&gt;=65%,"IMPROVEMENT",I8&gt;=40%,"POOR",I8&gt;=0%,"WORST")</f>
        <v>IMPROVEMENT</v>
      </c>
    </row>
    <row r="9" spans="1:14" ht="20.25" customHeight="1">
      <c r="A9" s="9" t="s">
        <v>28</v>
      </c>
      <c r="B9" s="9" t="s">
        <v>29</v>
      </c>
      <c r="C9" s="9" t="s">
        <v>18</v>
      </c>
      <c r="D9" s="9" t="s">
        <v>15</v>
      </c>
      <c r="E9" s="9">
        <v>73</v>
      </c>
      <c r="F9" s="9">
        <v>68</v>
      </c>
      <c r="G9" s="9">
        <v>76</v>
      </c>
      <c r="H9" s="9">
        <v>82</v>
      </c>
      <c r="I9" s="11">
        <v>0.89</v>
      </c>
      <c r="J9" s="9">
        <f t="shared" si="0"/>
        <v>299</v>
      </c>
      <c r="K9" s="11">
        <f t="shared" si="1"/>
        <v>0.74750000000000005</v>
      </c>
      <c r="L9" s="9" t="str">
        <f t="shared" si="2"/>
        <v>PASS</v>
      </c>
      <c r="M9" s="9" t="str">
        <f t="shared" si="3"/>
        <v>ELIGIBLE</v>
      </c>
      <c r="N9" s="9" t="str" cm="1">
        <f t="array" ref="N9">_xlfn.IFS(I9&gt;=95%,"EXCELLENT",I9&gt;=85%,"VERY GOOD",I9&gt;=75%,"GOOD",I9&gt;=65%,"IMPROVEMENT",I9&gt;=40%,"POOR",I9&gt;=0%,"WORST")</f>
        <v>VERY GOOD</v>
      </c>
    </row>
    <row r="10" spans="1:14" ht="20.25" customHeight="1">
      <c r="A10" s="9" t="s">
        <v>30</v>
      </c>
      <c r="B10" s="9" t="s">
        <v>31</v>
      </c>
      <c r="C10" s="9" t="s">
        <v>11</v>
      </c>
      <c r="D10" s="9" t="s">
        <v>12</v>
      </c>
      <c r="E10" s="9">
        <v>95</v>
      </c>
      <c r="F10" s="9">
        <v>92</v>
      </c>
      <c r="G10" s="9">
        <v>89</v>
      </c>
      <c r="H10" s="9">
        <v>97</v>
      </c>
      <c r="I10" s="11">
        <v>0.99</v>
      </c>
      <c r="J10" s="9">
        <f t="shared" si="0"/>
        <v>373</v>
      </c>
      <c r="K10" s="11">
        <f t="shared" si="1"/>
        <v>0.9325</v>
      </c>
      <c r="L10" s="9" t="str">
        <f t="shared" si="2"/>
        <v>PASS</v>
      </c>
      <c r="M10" s="9" t="str">
        <f t="shared" si="3"/>
        <v>ELIGIBLE</v>
      </c>
      <c r="N10" s="9" t="str" cm="1">
        <f t="array" ref="N10">_xlfn.IFS(I10&gt;=95%,"EXCELLENT",I10&gt;=85%,"VERY GOOD",I10&gt;=75%,"GOOD",I10&gt;=65%,"IMPROVEMENT",I10&gt;=40%,"POOR",I10&gt;=0%,"WORST")</f>
        <v>EXCELLENT</v>
      </c>
    </row>
    <row r="11" spans="1:14" ht="20.25" customHeight="1">
      <c r="A11" s="9" t="s">
        <v>32</v>
      </c>
      <c r="B11" s="9" t="s">
        <v>33</v>
      </c>
      <c r="C11" s="9" t="s">
        <v>21</v>
      </c>
      <c r="D11" s="9" t="s">
        <v>15</v>
      </c>
      <c r="E11" s="9">
        <v>61</v>
      </c>
      <c r="F11" s="9">
        <v>57</v>
      </c>
      <c r="G11" s="9">
        <v>64</v>
      </c>
      <c r="H11" s="9">
        <v>69</v>
      </c>
      <c r="I11" s="11">
        <v>0.78</v>
      </c>
      <c r="J11" s="9">
        <f t="shared" si="0"/>
        <v>251</v>
      </c>
      <c r="K11" s="11">
        <f t="shared" si="1"/>
        <v>0.62749999999999995</v>
      </c>
      <c r="L11" s="9" t="str">
        <f t="shared" si="2"/>
        <v>PASS</v>
      </c>
      <c r="M11" s="9" t="str">
        <f t="shared" si="3"/>
        <v>ELIGIBLE</v>
      </c>
      <c r="N11" s="9" t="str" cm="1">
        <f t="array" ref="N11">_xlfn.IFS(I11&gt;=95%,"EXCELLENT",I11&gt;=85%,"VERY GOOD",I11&gt;=75%,"GOOD",I11&gt;=65%,"IMPROVEMENT",I11&gt;=40%,"POOR",I11&gt;=0%,"WORST")</f>
        <v>GOOD</v>
      </c>
    </row>
    <row r="12" spans="1:14" ht="20.25" customHeight="1">
      <c r="A12" s="9" t="s">
        <v>34</v>
      </c>
      <c r="B12" s="9" t="s">
        <v>35</v>
      </c>
      <c r="C12" s="9" t="s">
        <v>18</v>
      </c>
      <c r="D12" s="9" t="s">
        <v>12</v>
      </c>
      <c r="E12" s="9">
        <v>82</v>
      </c>
      <c r="F12" s="9">
        <v>86</v>
      </c>
      <c r="G12" s="9">
        <v>79</v>
      </c>
      <c r="H12" s="9">
        <v>88</v>
      </c>
      <c r="I12" s="11">
        <v>0.93</v>
      </c>
      <c r="J12" s="9">
        <f t="shared" si="0"/>
        <v>335</v>
      </c>
      <c r="K12" s="11">
        <f t="shared" si="1"/>
        <v>0.83750000000000002</v>
      </c>
      <c r="L12" s="9" t="str">
        <f t="shared" si="2"/>
        <v>PASS</v>
      </c>
      <c r="M12" s="9" t="str">
        <f t="shared" si="3"/>
        <v>ELIGIBLE</v>
      </c>
      <c r="N12" s="9" t="str" cm="1">
        <f t="array" ref="N12">_xlfn.IFS(I12&gt;=95%,"EXCELLENT",I12&gt;=85%,"VERY GOOD",I12&gt;=75%,"GOOD",I12&gt;=65%,"IMPROVEMENT",I12&gt;=40%,"POOR",I12&gt;=0%,"WORST")</f>
        <v>VERY GOOD</v>
      </c>
    </row>
    <row r="13" spans="1:14" ht="20.25" customHeight="1">
      <c r="A13" s="9" t="s">
        <v>36</v>
      </c>
      <c r="B13" s="9" t="s">
        <v>37</v>
      </c>
      <c r="C13" s="9" t="s">
        <v>11</v>
      </c>
      <c r="D13" s="9" t="s">
        <v>15</v>
      </c>
      <c r="E13" s="9">
        <v>88</v>
      </c>
      <c r="F13" s="9">
        <v>91</v>
      </c>
      <c r="G13" s="9">
        <v>85</v>
      </c>
      <c r="H13" s="9">
        <v>94</v>
      </c>
      <c r="I13" s="11">
        <v>0.97</v>
      </c>
      <c r="J13" s="9">
        <f t="shared" si="0"/>
        <v>358</v>
      </c>
      <c r="K13" s="11">
        <f t="shared" si="1"/>
        <v>0.89500000000000002</v>
      </c>
      <c r="L13" s="9" t="str">
        <f t="shared" si="2"/>
        <v>PASS</v>
      </c>
      <c r="M13" s="9" t="str">
        <f t="shared" si="3"/>
        <v>ELIGIBLE</v>
      </c>
      <c r="N13" s="9" t="str" cm="1">
        <f t="array" ref="N13">_xlfn.IFS(I13&gt;=95%,"EXCELLENT",I13&gt;=85%,"VERY GOOD",I13&gt;=75%,"GOOD",I13&gt;=65%,"IMPROVEMENT",I13&gt;=40%,"POOR",I13&gt;=0%,"WORST")</f>
        <v>EXCELLENT</v>
      </c>
    </row>
    <row r="14" spans="1:14" ht="20.25" customHeight="1">
      <c r="A14" s="9" t="s">
        <v>38</v>
      </c>
      <c r="B14" s="9" t="s">
        <v>39</v>
      </c>
      <c r="C14" s="9" t="s">
        <v>21</v>
      </c>
      <c r="D14" s="9" t="s">
        <v>12</v>
      </c>
      <c r="E14" s="9">
        <v>47</v>
      </c>
      <c r="F14" s="9">
        <v>52</v>
      </c>
      <c r="G14" s="9">
        <v>44</v>
      </c>
      <c r="H14" s="9">
        <v>58</v>
      </c>
      <c r="I14" s="11">
        <v>0.72</v>
      </c>
      <c r="J14" s="9">
        <f t="shared" si="0"/>
        <v>201</v>
      </c>
      <c r="K14" s="11">
        <f t="shared" si="1"/>
        <v>0.50249999999999995</v>
      </c>
      <c r="L14" s="9" t="str">
        <f t="shared" si="2"/>
        <v>PASS</v>
      </c>
      <c r="M14" s="9" t="str">
        <f t="shared" si="3"/>
        <v>NOT ELIGIBLE</v>
      </c>
      <c r="N14" s="9" t="str" cm="1">
        <f t="array" ref="N14">_xlfn.IFS(I14&gt;=95%,"EXCELLENT",I14&gt;=85%,"VERY GOOD",I14&gt;=75%,"GOOD",I14&gt;=65%,"IMPROVEMENT",I14&gt;=40%,"POOR",I14&gt;=0%,"WORST")</f>
        <v>IMPROVEMENT</v>
      </c>
    </row>
    <row r="15" spans="1:14" ht="20.25" customHeight="1">
      <c r="A15" s="9" t="s">
        <v>40</v>
      </c>
      <c r="B15" s="9" t="s">
        <v>41</v>
      </c>
      <c r="C15" s="9" t="s">
        <v>18</v>
      </c>
      <c r="D15" s="9" t="s">
        <v>15</v>
      </c>
      <c r="E15" s="9">
        <v>76</v>
      </c>
      <c r="F15" s="9">
        <v>81</v>
      </c>
      <c r="G15" s="9">
        <v>73</v>
      </c>
      <c r="H15" s="9">
        <v>79</v>
      </c>
      <c r="I15" s="11">
        <v>0.9</v>
      </c>
      <c r="J15" s="9">
        <f t="shared" si="0"/>
        <v>309</v>
      </c>
      <c r="K15" s="11">
        <f t="shared" si="1"/>
        <v>0.77249999999999996</v>
      </c>
      <c r="L15" s="9" t="str">
        <f t="shared" si="2"/>
        <v>PASS</v>
      </c>
      <c r="M15" s="9" t="str">
        <f t="shared" si="3"/>
        <v>ELIGIBLE</v>
      </c>
      <c r="N15" s="9" t="str" cm="1">
        <f t="array" ref="N15">_xlfn.IFS(I15&gt;=95%,"EXCELLENT",I15&gt;=85%,"VERY GOOD",I15&gt;=75%,"GOOD",I15&gt;=65%,"IMPROVEMENT",I15&gt;=40%,"POOR",I15&gt;=0%,"WORST")</f>
        <v>VERY GOOD</v>
      </c>
    </row>
    <row r="16" spans="1:14" ht="20.25" customHeight="1">
      <c r="A16" s="9" t="s">
        <v>42</v>
      </c>
      <c r="B16" s="9" t="s">
        <v>43</v>
      </c>
      <c r="C16" s="9" t="s">
        <v>11</v>
      </c>
      <c r="D16" s="9" t="s">
        <v>12</v>
      </c>
      <c r="E16" s="9">
        <v>69</v>
      </c>
      <c r="F16" s="9">
        <v>74</v>
      </c>
      <c r="G16" s="9">
        <v>67</v>
      </c>
      <c r="H16" s="9">
        <v>72</v>
      </c>
      <c r="I16" s="11">
        <v>0.84</v>
      </c>
      <c r="J16" s="9">
        <f t="shared" si="0"/>
        <v>282</v>
      </c>
      <c r="K16" s="11">
        <f t="shared" si="1"/>
        <v>0.70499999999999996</v>
      </c>
      <c r="L16" s="9" t="str">
        <f t="shared" si="2"/>
        <v>PASS</v>
      </c>
      <c r="M16" s="9" t="str">
        <f t="shared" si="3"/>
        <v>ELIGIBLE</v>
      </c>
      <c r="N16" s="9" t="str" cm="1">
        <f t="array" ref="N16">_xlfn.IFS(I16&gt;=95%,"EXCELLENT",I16&gt;=85%,"VERY GOOD",I16&gt;=75%,"GOOD",I16&gt;=65%,"IMPROVEMENT",I16&gt;=40%,"POOR",I16&gt;=0%,"WORST")</f>
        <v>GOOD</v>
      </c>
    </row>
    <row r="17" spans="1:14" ht="20.25" customHeight="1">
      <c r="A17" s="9" t="s">
        <v>44</v>
      </c>
      <c r="B17" s="9" t="s">
        <v>45</v>
      </c>
      <c r="C17" s="9" t="s">
        <v>21</v>
      </c>
      <c r="D17" s="9" t="s">
        <v>15</v>
      </c>
      <c r="E17" s="9">
        <v>93</v>
      </c>
      <c r="F17" s="9">
        <v>89</v>
      </c>
      <c r="G17" s="9">
        <v>96</v>
      </c>
      <c r="H17" s="9">
        <v>91</v>
      </c>
      <c r="I17" s="11">
        <v>0.98</v>
      </c>
      <c r="J17" s="9">
        <f t="shared" si="0"/>
        <v>369</v>
      </c>
      <c r="K17" s="11">
        <f t="shared" si="1"/>
        <v>0.92249999999999999</v>
      </c>
      <c r="L17" s="9" t="str">
        <f t="shared" si="2"/>
        <v>PASS</v>
      </c>
      <c r="M17" s="9" t="str">
        <f t="shared" si="3"/>
        <v>ELIGIBLE</v>
      </c>
      <c r="N17" s="9" t="str" cm="1">
        <f t="array" ref="N17">_xlfn.IFS(I17&gt;=95%,"EXCELLENT",I17&gt;=85%,"VERY GOOD",I17&gt;=75%,"GOOD",I17&gt;=65%,"IMPROVEMENT",I17&gt;=40%,"POOR",I17&gt;=0%,"WORST")</f>
        <v>EXCELLENT</v>
      </c>
    </row>
    <row r="18" spans="1:14" ht="20.25" customHeight="1">
      <c r="A18" s="9" t="s">
        <v>46</v>
      </c>
      <c r="B18" s="9" t="s">
        <v>47</v>
      </c>
      <c r="C18" s="9" t="s">
        <v>18</v>
      </c>
      <c r="D18" s="9" t="s">
        <v>12</v>
      </c>
      <c r="E18" s="9">
        <v>54</v>
      </c>
      <c r="F18" s="9">
        <v>49</v>
      </c>
      <c r="G18" s="9">
        <v>57</v>
      </c>
      <c r="H18" s="9">
        <v>63</v>
      </c>
      <c r="I18" s="11">
        <v>0.76</v>
      </c>
      <c r="J18" s="9">
        <f t="shared" si="0"/>
        <v>223</v>
      </c>
      <c r="K18" s="11">
        <f t="shared" si="1"/>
        <v>0.5575</v>
      </c>
      <c r="L18" s="9" t="str">
        <f t="shared" si="2"/>
        <v>PASS</v>
      </c>
      <c r="M18" s="9" t="str">
        <f t="shared" si="3"/>
        <v>ELIGIBLE</v>
      </c>
      <c r="N18" s="9" t="str" cm="1">
        <f t="array" ref="N18">_xlfn.IFS(I18&gt;=95%,"EXCELLENT",I18&gt;=85%,"VERY GOOD",I18&gt;=75%,"GOOD",I18&gt;=65%,"IMPROVEMENT",I18&gt;=40%,"POOR",I18&gt;=0%,"WORST")</f>
        <v>GOOD</v>
      </c>
    </row>
    <row r="19" spans="1:14" ht="20.25" customHeight="1">
      <c r="A19" s="9" t="s">
        <v>48</v>
      </c>
      <c r="B19" s="9" t="s">
        <v>49</v>
      </c>
      <c r="C19" s="9" t="s">
        <v>11</v>
      </c>
      <c r="D19" s="9" t="s">
        <v>15</v>
      </c>
      <c r="E19" s="9">
        <v>81</v>
      </c>
      <c r="F19" s="9">
        <v>77</v>
      </c>
      <c r="G19" s="9">
        <v>84</v>
      </c>
      <c r="H19" s="9">
        <v>86</v>
      </c>
      <c r="I19" s="11">
        <v>0.91</v>
      </c>
      <c r="J19" s="9">
        <f t="shared" si="0"/>
        <v>328</v>
      </c>
      <c r="K19" s="11">
        <f t="shared" si="1"/>
        <v>0.82</v>
      </c>
      <c r="L19" s="9" t="str">
        <f t="shared" si="2"/>
        <v>PASS</v>
      </c>
      <c r="M19" s="9" t="str">
        <f t="shared" si="3"/>
        <v>ELIGIBLE</v>
      </c>
      <c r="N19" s="9" t="str" cm="1">
        <f t="array" ref="N19">_xlfn.IFS(I19&gt;=95%,"EXCELLENT",I19&gt;=85%,"VERY GOOD",I19&gt;=75%,"GOOD",I19&gt;=65%,"IMPROVEMENT",I19&gt;=40%,"POOR",I19&gt;=0%,"WORST")</f>
        <v>VERY GOOD</v>
      </c>
    </row>
    <row r="20" spans="1:14" ht="20.25" customHeight="1">
      <c r="A20" s="9" t="s">
        <v>50</v>
      </c>
      <c r="B20" s="9" t="s">
        <v>51</v>
      </c>
      <c r="C20" s="9" t="s">
        <v>21</v>
      </c>
      <c r="D20" s="9" t="s">
        <v>12</v>
      </c>
      <c r="E20" s="9">
        <v>35</v>
      </c>
      <c r="F20" s="9">
        <v>42</v>
      </c>
      <c r="G20" s="9">
        <v>39</v>
      </c>
      <c r="H20" s="9">
        <v>48</v>
      </c>
      <c r="I20" s="11">
        <v>0.65</v>
      </c>
      <c r="J20" s="9">
        <f t="shared" si="0"/>
        <v>164</v>
      </c>
      <c r="K20" s="11">
        <f t="shared" si="1"/>
        <v>0.41</v>
      </c>
      <c r="L20" s="9" t="str">
        <f t="shared" si="2"/>
        <v>FAIL</v>
      </c>
      <c r="M20" s="9" t="str">
        <f t="shared" si="3"/>
        <v>NOT ELIGIBLE</v>
      </c>
      <c r="N20" s="9" t="str" cm="1">
        <f t="array" ref="N20">_xlfn.IFS(I20&gt;=95%,"EXCELLENT",I20&gt;=85%,"VERY GOOD",I20&gt;=75%,"GOOD",I20&gt;=65%,"IMPROVEMENT",I20&gt;=40%,"POOR",I20&gt;=0%,"WORST")</f>
        <v>IMPROVEMENT</v>
      </c>
    </row>
    <row r="21" spans="1:14" ht="20.25" customHeight="1">
      <c r="A21" s="9" t="s">
        <v>52</v>
      </c>
      <c r="B21" s="9" t="s">
        <v>53</v>
      </c>
      <c r="C21" s="9" t="s">
        <v>18</v>
      </c>
      <c r="D21" s="9" t="s">
        <v>15</v>
      </c>
      <c r="E21" s="9">
        <v>72</v>
      </c>
      <c r="F21" s="9">
        <v>75</v>
      </c>
      <c r="G21" s="9">
        <v>70</v>
      </c>
      <c r="H21" s="9">
        <v>78</v>
      </c>
      <c r="I21" s="11">
        <v>0.88</v>
      </c>
      <c r="J21" s="9">
        <f t="shared" si="0"/>
        <v>295</v>
      </c>
      <c r="K21" s="11">
        <f t="shared" si="1"/>
        <v>0.73750000000000004</v>
      </c>
      <c r="L21" s="9" t="str">
        <f t="shared" si="2"/>
        <v>PASS</v>
      </c>
      <c r="M21" s="9" t="str">
        <f t="shared" si="3"/>
        <v>ELIGIBLE</v>
      </c>
      <c r="N21" s="9" t="str" cm="1">
        <f t="array" ref="N21">_xlfn.IFS(I21&gt;=95%,"EXCELLENT",I21&gt;=85%,"VERY GOOD",I21&gt;=75%,"GOOD",I21&gt;=65%,"IMPROVEMENT",I21&gt;=40%,"POOR",I21&gt;=0%,"WORST")</f>
        <v>VERY GOOD</v>
      </c>
    </row>
    <row r="22" spans="1:14" ht="20.25" customHeight="1">
      <c r="A22" s="9" t="s">
        <v>54</v>
      </c>
      <c r="B22" s="9" t="s">
        <v>55</v>
      </c>
      <c r="C22" s="9" t="s">
        <v>11</v>
      </c>
      <c r="D22" s="9" t="s">
        <v>12</v>
      </c>
      <c r="E22" s="9">
        <v>89</v>
      </c>
      <c r="F22" s="9">
        <v>94</v>
      </c>
      <c r="G22" s="9">
        <v>91</v>
      </c>
      <c r="H22" s="9">
        <v>93</v>
      </c>
      <c r="I22" s="11">
        <v>0.96</v>
      </c>
      <c r="J22" s="9">
        <f t="shared" si="0"/>
        <v>367</v>
      </c>
      <c r="K22" s="11">
        <f t="shared" si="1"/>
        <v>0.91749999999999998</v>
      </c>
      <c r="L22" s="9" t="str">
        <f t="shared" si="2"/>
        <v>PASS</v>
      </c>
      <c r="M22" s="9" t="str">
        <f t="shared" si="3"/>
        <v>ELIGIBLE</v>
      </c>
      <c r="N22" s="9" t="str" cm="1">
        <f t="array" ref="N22">_xlfn.IFS(I22&gt;=95%,"EXCELLENT",I22&gt;=85%,"VERY GOOD",I22&gt;=75%,"GOOD",I22&gt;=65%,"IMPROVEMENT",I22&gt;=40%,"POOR",I22&gt;=0%,"WORST")</f>
        <v>EXCELLENT</v>
      </c>
    </row>
    <row r="23" spans="1:14" ht="20.25" customHeight="1">
      <c r="A23" s="9" t="s">
        <v>56</v>
      </c>
      <c r="B23" s="9" t="s">
        <v>57</v>
      </c>
      <c r="C23" s="9" t="s">
        <v>21</v>
      </c>
      <c r="D23" s="9" t="s">
        <v>15</v>
      </c>
      <c r="E23" s="9">
        <v>64</v>
      </c>
      <c r="F23" s="9">
        <v>69</v>
      </c>
      <c r="G23" s="9">
        <v>62</v>
      </c>
      <c r="H23" s="9">
        <v>71</v>
      </c>
      <c r="I23" s="11">
        <v>0.82</v>
      </c>
      <c r="J23" s="9">
        <f t="shared" si="0"/>
        <v>266</v>
      </c>
      <c r="K23" s="11">
        <f t="shared" si="1"/>
        <v>0.66500000000000004</v>
      </c>
      <c r="L23" s="9" t="str">
        <f t="shared" si="2"/>
        <v>PASS</v>
      </c>
      <c r="M23" s="9" t="str">
        <f t="shared" si="3"/>
        <v>ELIGIBLE</v>
      </c>
      <c r="N23" s="9" t="str" cm="1">
        <f t="array" ref="N23">_xlfn.IFS(I23&gt;=95%,"EXCELLENT",I23&gt;=85%,"VERY GOOD",I23&gt;=75%,"GOOD",I23&gt;=65%,"IMPROVEMENT",I23&gt;=40%,"POOR",I23&gt;=0%,"WORST")</f>
        <v>GOOD</v>
      </c>
    </row>
    <row r="24" spans="1:14" ht="20.25" customHeight="1">
      <c r="A24" s="9" t="s">
        <v>58</v>
      </c>
      <c r="B24" s="9" t="s">
        <v>59</v>
      </c>
      <c r="C24" s="9" t="s">
        <v>18</v>
      </c>
      <c r="D24" s="9" t="s">
        <v>12</v>
      </c>
      <c r="E24" s="9">
        <v>58</v>
      </c>
      <c r="F24" s="9">
        <v>61</v>
      </c>
      <c r="G24" s="9">
        <v>55</v>
      </c>
      <c r="H24" s="9">
        <v>67</v>
      </c>
      <c r="I24" s="11">
        <v>0.79</v>
      </c>
      <c r="J24" s="9">
        <f t="shared" si="0"/>
        <v>241</v>
      </c>
      <c r="K24" s="11">
        <f t="shared" si="1"/>
        <v>0.60250000000000004</v>
      </c>
      <c r="L24" s="9" t="str">
        <f t="shared" si="2"/>
        <v>PASS</v>
      </c>
      <c r="M24" s="9" t="str">
        <f t="shared" si="3"/>
        <v>ELIGIBLE</v>
      </c>
      <c r="N24" s="9" t="str" cm="1">
        <f t="array" ref="N24">_xlfn.IFS(I24&gt;=95%,"EXCELLENT",I24&gt;=85%,"VERY GOOD",I24&gt;=75%,"GOOD",I24&gt;=65%,"IMPROVEMENT",I24&gt;=40%,"POOR",I24&gt;=0%,"WORST")</f>
        <v>GOOD</v>
      </c>
    </row>
    <row r="25" spans="1:14" ht="20.25" customHeight="1">
      <c r="A25" s="9" t="s">
        <v>60</v>
      </c>
      <c r="B25" s="9" t="s">
        <v>61</v>
      </c>
      <c r="C25" s="9" t="s">
        <v>11</v>
      </c>
      <c r="D25" s="9" t="s">
        <v>15</v>
      </c>
      <c r="E25" s="9">
        <v>77</v>
      </c>
      <c r="F25" s="9">
        <v>83</v>
      </c>
      <c r="G25" s="9">
        <v>80</v>
      </c>
      <c r="H25" s="9">
        <v>85</v>
      </c>
      <c r="I25" s="11">
        <v>0.94</v>
      </c>
      <c r="J25" s="9">
        <f t="shared" si="0"/>
        <v>325</v>
      </c>
      <c r="K25" s="11">
        <f t="shared" si="1"/>
        <v>0.8125</v>
      </c>
      <c r="L25" s="9" t="str">
        <f t="shared" si="2"/>
        <v>PASS</v>
      </c>
      <c r="M25" s="9" t="str">
        <f t="shared" si="3"/>
        <v>ELIGIBLE</v>
      </c>
      <c r="N25" s="9" t="str" cm="1">
        <f t="array" ref="N25">_xlfn.IFS(I25&gt;=95%,"EXCELLENT",I25&gt;=85%,"VERY GOOD",I25&gt;=75%,"GOOD",I25&gt;=65%,"IMPROVEMENT",I25&gt;=40%,"POOR",I25&gt;=0%,"WORST")</f>
        <v>VERY GOOD</v>
      </c>
    </row>
    <row r="26" spans="1:14" ht="20.25" customHeight="1">
      <c r="A26" s="9" t="s">
        <v>62</v>
      </c>
      <c r="B26" s="9" t="s">
        <v>63</v>
      </c>
      <c r="C26" s="9" t="s">
        <v>21</v>
      </c>
      <c r="D26" s="9" t="s">
        <v>12</v>
      </c>
      <c r="E26" s="9">
        <v>44</v>
      </c>
      <c r="F26" s="9">
        <v>51</v>
      </c>
      <c r="G26" s="9">
        <v>46</v>
      </c>
      <c r="H26" s="9">
        <v>55</v>
      </c>
      <c r="I26" s="11">
        <v>0.73</v>
      </c>
      <c r="J26" s="9">
        <f t="shared" si="0"/>
        <v>196</v>
      </c>
      <c r="K26" s="11">
        <f t="shared" si="1"/>
        <v>0.49</v>
      </c>
      <c r="L26" s="9" t="str">
        <f t="shared" si="2"/>
        <v>PASS</v>
      </c>
      <c r="M26" s="9" t="str">
        <f t="shared" si="3"/>
        <v>NOT ELIGIBLE</v>
      </c>
      <c r="N26" s="9" t="str" cm="1">
        <f t="array" ref="N26">_xlfn.IFS(I26&gt;=95%,"EXCELLENT",I26&gt;=85%,"VERY GOOD",I26&gt;=75%,"GOOD",I26&gt;=65%,"IMPROVEMENT",I26&gt;=40%,"POOR",I26&gt;=0%,"WORST")</f>
        <v>IMPROVEMENT</v>
      </c>
    </row>
    <row r="27" spans="1:14" ht="20.25" customHeight="1">
      <c r="A27" s="9" t="s">
        <v>64</v>
      </c>
      <c r="B27" s="9" t="s">
        <v>65</v>
      </c>
      <c r="C27" s="9" t="s">
        <v>18</v>
      </c>
      <c r="D27" s="9" t="s">
        <v>15</v>
      </c>
      <c r="E27" s="9">
        <v>86</v>
      </c>
      <c r="F27" s="9">
        <v>78</v>
      </c>
      <c r="G27" s="9">
        <v>89</v>
      </c>
      <c r="H27" s="9">
        <v>92</v>
      </c>
      <c r="I27" s="11">
        <v>0.95</v>
      </c>
      <c r="J27" s="9">
        <f t="shared" si="0"/>
        <v>345</v>
      </c>
      <c r="K27" s="11">
        <f t="shared" si="1"/>
        <v>0.86250000000000004</v>
      </c>
      <c r="L27" s="9" t="str">
        <f t="shared" si="2"/>
        <v>PASS</v>
      </c>
      <c r="M27" s="9" t="str">
        <f t="shared" si="3"/>
        <v>ELIGIBLE</v>
      </c>
      <c r="N27" s="9" t="str" cm="1">
        <f t="array" ref="N27">_xlfn.IFS(I27&gt;=95%,"EXCELLENT",I27&gt;=85%,"VERY GOOD",I27&gt;=75%,"GOOD",I27&gt;=65%,"IMPROVEMENT",I27&gt;=40%,"POOR",I27&gt;=0%,"WORST")</f>
        <v>EXCELLENT</v>
      </c>
    </row>
    <row r="28" spans="1:14" ht="20.25" customHeight="1">
      <c r="A28" s="9" t="s">
        <v>66</v>
      </c>
      <c r="B28" s="9" t="s">
        <v>67</v>
      </c>
      <c r="C28" s="9" t="s">
        <v>11</v>
      </c>
      <c r="D28" s="9" t="s">
        <v>12</v>
      </c>
      <c r="E28" s="9">
        <v>71</v>
      </c>
      <c r="F28" s="9">
        <v>66</v>
      </c>
      <c r="G28" s="9">
        <v>74</v>
      </c>
      <c r="H28" s="9">
        <v>80</v>
      </c>
      <c r="I28" s="11">
        <v>0.86</v>
      </c>
      <c r="J28" s="9">
        <f t="shared" si="0"/>
        <v>291</v>
      </c>
      <c r="K28" s="11">
        <f t="shared" si="1"/>
        <v>0.72750000000000004</v>
      </c>
      <c r="L28" s="9" t="str">
        <f t="shared" si="2"/>
        <v>PASS</v>
      </c>
      <c r="M28" s="9" t="str">
        <f t="shared" si="3"/>
        <v>ELIGIBLE</v>
      </c>
      <c r="N28" s="9" t="str" cm="1">
        <f t="array" ref="N28">_xlfn.IFS(I28&gt;=95%,"EXCELLENT",I28&gt;=85%,"VERY GOOD",I28&gt;=75%,"GOOD",I28&gt;=65%,"IMPROVEMENT",I28&gt;=40%,"POOR",I28&gt;=0%,"WORST")</f>
        <v>VERY GOOD</v>
      </c>
    </row>
    <row r="29" spans="1:14" ht="20.25" customHeight="1">
      <c r="A29" s="9" t="s">
        <v>68</v>
      </c>
      <c r="B29" s="9" t="s">
        <v>69</v>
      </c>
      <c r="C29" s="9" t="s">
        <v>21</v>
      </c>
      <c r="D29" s="9" t="s">
        <v>15</v>
      </c>
      <c r="E29" s="9">
        <v>92</v>
      </c>
      <c r="F29" s="9">
        <v>95</v>
      </c>
      <c r="G29" s="9">
        <v>90</v>
      </c>
      <c r="H29" s="9">
        <v>97</v>
      </c>
      <c r="I29" s="11">
        <v>0.99</v>
      </c>
      <c r="J29" s="9">
        <f t="shared" si="0"/>
        <v>374</v>
      </c>
      <c r="K29" s="11">
        <f t="shared" si="1"/>
        <v>0.93500000000000005</v>
      </c>
      <c r="L29" s="9" t="str">
        <f t="shared" si="2"/>
        <v>PASS</v>
      </c>
      <c r="M29" s="9" t="str">
        <f t="shared" si="3"/>
        <v>ELIGIBLE</v>
      </c>
      <c r="N29" s="9" t="str" cm="1">
        <f t="array" ref="N29">_xlfn.IFS(I29&gt;=95%,"EXCELLENT",I29&gt;=85%,"VERY GOOD",I29&gt;=75%,"GOOD",I29&gt;=65%,"IMPROVEMENT",I29&gt;=40%,"POOR",I29&gt;=0%,"WORST")</f>
        <v>EXCELLENT</v>
      </c>
    </row>
    <row r="30" spans="1:14" ht="20.25" customHeight="1">
      <c r="A30" s="9" t="s">
        <v>70</v>
      </c>
      <c r="B30" s="9" t="s">
        <v>71</v>
      </c>
      <c r="C30" s="9" t="s">
        <v>18</v>
      </c>
      <c r="D30" s="9" t="s">
        <v>12</v>
      </c>
      <c r="E30" s="9">
        <v>49</v>
      </c>
      <c r="F30" s="9">
        <v>58</v>
      </c>
      <c r="G30" s="9">
        <v>52</v>
      </c>
      <c r="H30" s="9">
        <v>60</v>
      </c>
      <c r="I30" s="11">
        <v>0.75</v>
      </c>
      <c r="J30" s="9">
        <f t="shared" si="0"/>
        <v>219</v>
      </c>
      <c r="K30" s="11">
        <f t="shared" si="1"/>
        <v>0.54749999999999999</v>
      </c>
      <c r="L30" s="9" t="str">
        <f t="shared" si="2"/>
        <v>PASS</v>
      </c>
      <c r="M30" s="9" t="str">
        <f t="shared" si="3"/>
        <v>ELIGIBLE</v>
      </c>
      <c r="N30" s="9" t="str" cm="1">
        <f t="array" ref="N30">_xlfn.IFS(I30&gt;=95%,"EXCELLENT",I30&gt;=85%,"VERY GOOD",I30&gt;=75%,"GOOD",I30&gt;=65%,"IMPROVEMENT",I30&gt;=40%,"POOR",I30&gt;=0%,"WORST")</f>
        <v>GOOD</v>
      </c>
    </row>
    <row r="31" spans="1:14" ht="20.25" customHeight="1">
      <c r="A31" s="9" t="s">
        <v>72</v>
      </c>
      <c r="B31" s="9" t="s">
        <v>73</v>
      </c>
      <c r="C31" s="9" t="s">
        <v>11</v>
      </c>
      <c r="D31" s="9" t="s">
        <v>15</v>
      </c>
      <c r="E31" s="9">
        <v>68</v>
      </c>
      <c r="F31" s="9">
        <v>73</v>
      </c>
      <c r="G31" s="9">
        <v>71</v>
      </c>
      <c r="H31" s="9">
        <v>76</v>
      </c>
      <c r="I31" s="11">
        <v>0.85</v>
      </c>
      <c r="J31" s="9">
        <f t="shared" si="0"/>
        <v>288</v>
      </c>
      <c r="K31" s="11">
        <f t="shared" si="1"/>
        <v>0.72</v>
      </c>
      <c r="L31" s="9" t="str">
        <f t="shared" si="2"/>
        <v>PASS</v>
      </c>
      <c r="M31" s="9" t="str">
        <f t="shared" si="3"/>
        <v>ELIGIBLE</v>
      </c>
      <c r="N31" s="9" t="str" cm="1">
        <f t="array" ref="N31">_xlfn.IFS(I31&gt;=95%,"EXCELLENT",I31&gt;=85%,"VERY GOOD",I31&gt;=75%,"GOOD",I31&gt;=65%,"IMPROVEMENT",I31&gt;=40%,"POOR",I31&gt;=0%,"WORST")</f>
        <v>VERY GOOD</v>
      </c>
    </row>
    <row r="32" spans="1:14" ht="20.25" customHeight="1">
      <c r="A32" s="9" t="s">
        <v>74</v>
      </c>
      <c r="B32" s="9" t="s">
        <v>75</v>
      </c>
      <c r="C32" s="9" t="s">
        <v>21</v>
      </c>
      <c r="D32" s="9" t="s">
        <v>12</v>
      </c>
      <c r="E32" s="9">
        <v>79</v>
      </c>
      <c r="F32" s="9">
        <v>82</v>
      </c>
      <c r="G32" s="9">
        <v>77</v>
      </c>
      <c r="H32" s="9">
        <v>84</v>
      </c>
      <c r="I32" s="11">
        <v>0.91</v>
      </c>
      <c r="J32" s="9">
        <f t="shared" si="0"/>
        <v>322</v>
      </c>
      <c r="K32" s="11">
        <f t="shared" si="1"/>
        <v>0.80500000000000005</v>
      </c>
      <c r="L32" s="9" t="str">
        <f t="shared" si="2"/>
        <v>PASS</v>
      </c>
      <c r="M32" s="9" t="str">
        <f t="shared" si="3"/>
        <v>ELIGIBLE</v>
      </c>
      <c r="N32" s="9" t="str" cm="1">
        <f t="array" ref="N32">_xlfn.IFS(I32&gt;=95%,"EXCELLENT",I32&gt;=85%,"VERY GOOD",I32&gt;=75%,"GOOD",I32&gt;=65%,"IMPROVEMENT",I32&gt;=40%,"POOR",I32&gt;=0%,"WORST")</f>
        <v>VERY GOOD</v>
      </c>
    </row>
    <row r="33" spans="1:14" ht="20.25" customHeight="1">
      <c r="A33" s="9" t="s">
        <v>76</v>
      </c>
      <c r="B33" s="9" t="s">
        <v>77</v>
      </c>
      <c r="C33" s="9" t="s">
        <v>18</v>
      </c>
      <c r="D33" s="9" t="s">
        <v>15</v>
      </c>
      <c r="E33" s="9">
        <v>85</v>
      </c>
      <c r="F33" s="9">
        <v>87</v>
      </c>
      <c r="G33" s="9">
        <v>83</v>
      </c>
      <c r="H33" s="9">
        <v>89</v>
      </c>
      <c r="I33" s="11">
        <v>0.96</v>
      </c>
      <c r="J33" s="9">
        <f t="shared" si="0"/>
        <v>344</v>
      </c>
      <c r="K33" s="11">
        <f t="shared" si="1"/>
        <v>0.86</v>
      </c>
      <c r="L33" s="9" t="str">
        <f t="shared" si="2"/>
        <v>PASS</v>
      </c>
      <c r="M33" s="9" t="str">
        <f t="shared" si="3"/>
        <v>ELIGIBLE</v>
      </c>
      <c r="N33" s="9" t="str" cm="1">
        <f t="array" ref="N33">_xlfn.IFS(I33&gt;=95%,"EXCELLENT",I33&gt;=85%,"VERY GOOD",I33&gt;=75%,"GOOD",I33&gt;=65%,"IMPROVEMENT",I33&gt;=40%,"POOR",I33&gt;=0%,"WORST")</f>
        <v>EXCELLENT</v>
      </c>
    </row>
    <row r="34" spans="1:14" ht="20.25" customHeight="1">
      <c r="A34" s="9" t="s">
        <v>78</v>
      </c>
      <c r="B34" s="9" t="s">
        <v>79</v>
      </c>
      <c r="C34" s="9" t="s">
        <v>11</v>
      </c>
      <c r="D34" s="9" t="s">
        <v>12</v>
      </c>
      <c r="E34" s="9">
        <v>52</v>
      </c>
      <c r="F34" s="9">
        <v>47</v>
      </c>
      <c r="G34" s="9">
        <v>54</v>
      </c>
      <c r="H34" s="9">
        <v>62</v>
      </c>
      <c r="I34" s="11">
        <v>0.77</v>
      </c>
      <c r="J34" s="9">
        <f t="shared" si="0"/>
        <v>215</v>
      </c>
      <c r="K34" s="11">
        <f t="shared" si="1"/>
        <v>0.53749999999999998</v>
      </c>
      <c r="L34" s="9" t="str">
        <f t="shared" si="2"/>
        <v>PASS</v>
      </c>
      <c r="M34" s="9" t="str">
        <f t="shared" si="3"/>
        <v>ELIGIBLE</v>
      </c>
      <c r="N34" s="9" t="str" cm="1">
        <f t="array" ref="N34">_xlfn.IFS(I34&gt;=95%,"EXCELLENT",I34&gt;=85%,"VERY GOOD",I34&gt;=75%,"GOOD",I34&gt;=65%,"IMPROVEMENT",I34&gt;=40%,"POOR",I34&gt;=0%,"WORST")</f>
        <v>GOOD</v>
      </c>
    </row>
    <row r="35" spans="1:14" ht="20.25" customHeight="1">
      <c r="A35" s="9" t="s">
        <v>80</v>
      </c>
      <c r="B35" s="9" t="s">
        <v>81</v>
      </c>
      <c r="C35" s="9" t="s">
        <v>21</v>
      </c>
      <c r="D35" s="9" t="s">
        <v>15</v>
      </c>
      <c r="E35" s="9">
        <v>74</v>
      </c>
      <c r="F35" s="9">
        <v>79</v>
      </c>
      <c r="G35" s="9">
        <v>76</v>
      </c>
      <c r="H35" s="9">
        <v>81</v>
      </c>
      <c r="I35" s="11">
        <v>0.89</v>
      </c>
      <c r="J35" s="9">
        <f t="shared" si="0"/>
        <v>310</v>
      </c>
      <c r="K35" s="11">
        <f t="shared" si="1"/>
        <v>0.77500000000000002</v>
      </c>
      <c r="L35" s="9" t="str">
        <f t="shared" si="2"/>
        <v>PASS</v>
      </c>
      <c r="M35" s="9" t="str">
        <f t="shared" si="3"/>
        <v>ELIGIBLE</v>
      </c>
      <c r="N35" s="9" t="str" cm="1">
        <f t="array" ref="N35">_xlfn.IFS(I35&gt;=95%,"EXCELLENT",I35&gt;=85%,"VERY GOOD",I35&gt;=75%,"GOOD",I35&gt;=65%,"IMPROVEMENT",I35&gt;=40%,"POOR",I35&gt;=0%,"WORST")</f>
        <v>VERY GOOD</v>
      </c>
    </row>
    <row r="36" spans="1:14" ht="20.25" customHeight="1">
      <c r="A36" s="9" t="s">
        <v>82</v>
      </c>
      <c r="B36" s="9" t="s">
        <v>83</v>
      </c>
      <c r="C36" s="9" t="s">
        <v>18</v>
      </c>
      <c r="D36" s="9" t="s">
        <v>12</v>
      </c>
      <c r="E36" s="9">
        <v>63</v>
      </c>
      <c r="F36" s="9">
        <v>59</v>
      </c>
      <c r="G36" s="9">
        <v>66</v>
      </c>
      <c r="H36" s="9">
        <v>70</v>
      </c>
      <c r="I36" s="11">
        <v>0.8</v>
      </c>
      <c r="J36" s="9">
        <f t="shared" si="0"/>
        <v>258</v>
      </c>
      <c r="K36" s="11">
        <f t="shared" si="1"/>
        <v>0.64500000000000002</v>
      </c>
      <c r="L36" s="9" t="str">
        <f t="shared" si="2"/>
        <v>PASS</v>
      </c>
      <c r="M36" s="9" t="str">
        <f t="shared" si="3"/>
        <v>ELIGIBLE</v>
      </c>
      <c r="N36" s="9" t="str" cm="1">
        <f t="array" ref="N36">_xlfn.IFS(I36&gt;=95%,"EXCELLENT",I36&gt;=85%,"VERY GOOD",I36&gt;=75%,"GOOD",I36&gt;=65%,"IMPROVEMENT",I36&gt;=40%,"POOR",I36&gt;=0%,"WORST")</f>
        <v>GOOD</v>
      </c>
    </row>
    <row r="37" spans="1:14" ht="20.25" customHeight="1">
      <c r="A37" s="9" t="s">
        <v>84</v>
      </c>
      <c r="B37" s="9" t="s">
        <v>85</v>
      </c>
      <c r="C37" s="9" t="s">
        <v>11</v>
      </c>
      <c r="D37" s="9" t="s">
        <v>15</v>
      </c>
      <c r="E37" s="9">
        <v>97</v>
      </c>
      <c r="F37" s="9">
        <v>93</v>
      </c>
      <c r="G37" s="9">
        <v>95</v>
      </c>
      <c r="H37" s="9">
        <v>98</v>
      </c>
      <c r="I37" s="11">
        <v>1</v>
      </c>
      <c r="J37" s="9">
        <f t="shared" si="0"/>
        <v>383</v>
      </c>
      <c r="K37" s="11">
        <f t="shared" si="1"/>
        <v>0.95750000000000002</v>
      </c>
      <c r="L37" s="9" t="str">
        <f t="shared" si="2"/>
        <v>PASS</v>
      </c>
      <c r="M37" s="9" t="str">
        <f t="shared" si="3"/>
        <v>ELIGIBLE</v>
      </c>
      <c r="N37" s="9" t="str" cm="1">
        <f t="array" ref="N37">_xlfn.IFS(I37&gt;=95%,"EXCELLENT",I37&gt;=85%,"VERY GOOD",I37&gt;=75%,"GOOD",I37&gt;=65%,"IMPROVEMENT",I37&gt;=40%,"POOR",I37&gt;=0%,"WORST")</f>
        <v>EXCELLENT</v>
      </c>
    </row>
    <row r="38" spans="1:14" ht="20.25" customHeight="1">
      <c r="A38" s="9" t="s">
        <v>86</v>
      </c>
      <c r="B38" s="9" t="s">
        <v>87</v>
      </c>
      <c r="C38" s="9" t="s">
        <v>21</v>
      </c>
      <c r="D38" s="9" t="s">
        <v>12</v>
      </c>
      <c r="E38" s="9">
        <v>41</v>
      </c>
      <c r="F38" s="9">
        <v>48</v>
      </c>
      <c r="G38" s="9">
        <v>45</v>
      </c>
      <c r="H38" s="9">
        <v>53</v>
      </c>
      <c r="I38" s="11">
        <v>0.71</v>
      </c>
      <c r="J38" s="9">
        <f t="shared" si="0"/>
        <v>187</v>
      </c>
      <c r="K38" s="11">
        <f t="shared" si="1"/>
        <v>0.46750000000000003</v>
      </c>
      <c r="L38" s="9" t="str">
        <f t="shared" si="2"/>
        <v>PASS</v>
      </c>
      <c r="M38" s="9" t="str">
        <f t="shared" si="3"/>
        <v>NOT ELIGIBLE</v>
      </c>
      <c r="N38" s="9" t="str" cm="1">
        <f t="array" ref="N38">_xlfn.IFS(I38&gt;=95%,"EXCELLENT",I38&gt;=85%,"VERY GOOD",I38&gt;=75%,"GOOD",I38&gt;=65%,"IMPROVEMENT",I38&gt;=40%,"POOR",I38&gt;=0%,"WORST")</f>
        <v>IMPROVEMENT</v>
      </c>
    </row>
    <row r="39" spans="1:14" ht="20.25" customHeight="1">
      <c r="A39" s="9" t="s">
        <v>88</v>
      </c>
      <c r="B39" s="9" t="s">
        <v>89</v>
      </c>
      <c r="C39" s="9" t="s">
        <v>18</v>
      </c>
      <c r="D39" s="9" t="s">
        <v>15</v>
      </c>
      <c r="E39" s="9">
        <v>80</v>
      </c>
      <c r="F39" s="9">
        <v>84</v>
      </c>
      <c r="G39" s="9">
        <v>78</v>
      </c>
      <c r="H39" s="9">
        <v>87</v>
      </c>
      <c r="I39" s="11">
        <v>0.93</v>
      </c>
      <c r="J39" s="9">
        <f t="shared" si="0"/>
        <v>329</v>
      </c>
      <c r="K39" s="11">
        <f t="shared" si="1"/>
        <v>0.82250000000000001</v>
      </c>
      <c r="L39" s="9" t="str">
        <f t="shared" si="2"/>
        <v>PASS</v>
      </c>
      <c r="M39" s="9" t="str">
        <f t="shared" si="3"/>
        <v>ELIGIBLE</v>
      </c>
      <c r="N39" s="9" t="str" cm="1">
        <f t="array" ref="N39">_xlfn.IFS(I39&gt;=95%,"EXCELLENT",I39&gt;=85%,"VERY GOOD",I39&gt;=75%,"GOOD",I39&gt;=65%,"IMPROVEMENT",I39&gt;=40%,"POOR",I39&gt;=0%,"WORST")</f>
        <v>VERY GOOD</v>
      </c>
    </row>
    <row r="40" spans="1:14" ht="20.25" customHeight="1">
      <c r="A40" s="9" t="s">
        <v>90</v>
      </c>
      <c r="B40" s="9" t="s">
        <v>91</v>
      </c>
      <c r="C40" s="9" t="s">
        <v>11</v>
      </c>
      <c r="D40" s="9" t="s">
        <v>12</v>
      </c>
      <c r="E40" s="9">
        <v>67</v>
      </c>
      <c r="F40" s="9">
        <v>72</v>
      </c>
      <c r="G40" s="9">
        <v>69</v>
      </c>
      <c r="H40" s="9">
        <v>74</v>
      </c>
      <c r="I40" s="11">
        <v>0.83</v>
      </c>
      <c r="J40" s="9">
        <f t="shared" si="0"/>
        <v>282</v>
      </c>
      <c r="K40" s="11">
        <f t="shared" si="1"/>
        <v>0.70499999999999996</v>
      </c>
      <c r="L40" s="9" t="str">
        <f t="shared" si="2"/>
        <v>PASS</v>
      </c>
      <c r="M40" s="9" t="str">
        <f t="shared" si="3"/>
        <v>ELIGIBLE</v>
      </c>
      <c r="N40" s="9" t="str" cm="1">
        <f t="array" ref="N40">_xlfn.IFS(I40&gt;=95%,"EXCELLENT",I40&gt;=85%,"VERY GOOD",I40&gt;=75%,"GOOD",I40&gt;=65%,"IMPROVEMENT",I40&gt;=40%,"POOR",I40&gt;=0%,"WORST")</f>
        <v>GOOD</v>
      </c>
    </row>
    <row r="41" spans="1:14" ht="20.25" customHeight="1">
      <c r="A41" s="9" t="s">
        <v>92</v>
      </c>
      <c r="B41" s="9" t="s">
        <v>93</v>
      </c>
      <c r="C41" s="9" t="s">
        <v>21</v>
      </c>
      <c r="D41" s="9" t="s">
        <v>15</v>
      </c>
      <c r="E41" s="9">
        <v>90</v>
      </c>
      <c r="F41" s="9">
        <v>86</v>
      </c>
      <c r="G41" s="9">
        <v>92</v>
      </c>
      <c r="H41" s="9">
        <v>95</v>
      </c>
      <c r="I41" s="11">
        <v>0.97</v>
      </c>
      <c r="J41" s="9">
        <f t="shared" si="0"/>
        <v>363</v>
      </c>
      <c r="K41" s="11">
        <f t="shared" si="1"/>
        <v>0.90749999999999997</v>
      </c>
      <c r="L41" s="9" t="str">
        <f t="shared" si="2"/>
        <v>PASS</v>
      </c>
      <c r="M41" s="9" t="str">
        <f t="shared" si="3"/>
        <v>ELIGIBLE</v>
      </c>
      <c r="N41" s="9" t="str" cm="1">
        <f t="array" ref="N41">_xlfn.IFS(I41&gt;=95%,"EXCELLENT",I41&gt;=85%,"VERY GOOD",I41&gt;=75%,"GOOD",I41&gt;=65%,"IMPROVEMENT",I41&gt;=40%,"POOR",I41&gt;=0%,"WORST")</f>
        <v>EXCELLENT</v>
      </c>
    </row>
    <row r="42" spans="1:14" ht="20.25" customHeight="1">
      <c r="A42" s="9" t="s">
        <v>94</v>
      </c>
      <c r="B42" s="9" t="s">
        <v>95</v>
      </c>
      <c r="C42" s="9" t="s">
        <v>18</v>
      </c>
      <c r="D42" s="9" t="s">
        <v>12</v>
      </c>
      <c r="E42" s="9">
        <v>57</v>
      </c>
      <c r="F42" s="9">
        <v>64</v>
      </c>
      <c r="G42" s="9">
        <v>61</v>
      </c>
      <c r="H42" s="9">
        <v>68</v>
      </c>
      <c r="I42" s="11">
        <v>0.78</v>
      </c>
      <c r="J42" s="9">
        <f t="shared" si="0"/>
        <v>250</v>
      </c>
      <c r="K42" s="11">
        <f t="shared" si="1"/>
        <v>0.625</v>
      </c>
      <c r="L42" s="9" t="str">
        <f t="shared" si="2"/>
        <v>PASS</v>
      </c>
      <c r="M42" s="9" t="str">
        <f t="shared" si="3"/>
        <v>ELIGIBLE</v>
      </c>
      <c r="N42" s="9" t="str" cm="1">
        <f t="array" ref="N42">_xlfn.IFS(I42&gt;=95%,"EXCELLENT",I42&gt;=85%,"VERY GOOD",I42&gt;=75%,"GOOD",I42&gt;=65%,"IMPROVEMENT",I42&gt;=40%,"POOR",I42&gt;=0%,"WORST")</f>
        <v>GOOD</v>
      </c>
    </row>
    <row r="43" spans="1:14" ht="20.25" customHeight="1">
      <c r="A43" s="9" t="s">
        <v>96</v>
      </c>
      <c r="B43" s="9" t="s">
        <v>97</v>
      </c>
      <c r="C43" s="9" t="s">
        <v>11</v>
      </c>
      <c r="D43" s="9" t="s">
        <v>15</v>
      </c>
      <c r="E43" s="9">
        <v>83</v>
      </c>
      <c r="F43" s="9">
        <v>80</v>
      </c>
      <c r="G43" s="9">
        <v>86</v>
      </c>
      <c r="H43" s="9">
        <v>88</v>
      </c>
      <c r="I43" s="11">
        <v>0.92</v>
      </c>
      <c r="J43" s="9">
        <f t="shared" si="0"/>
        <v>337</v>
      </c>
      <c r="K43" s="11">
        <f t="shared" si="1"/>
        <v>0.84250000000000003</v>
      </c>
      <c r="L43" s="9" t="str">
        <f t="shared" si="2"/>
        <v>PASS</v>
      </c>
      <c r="M43" s="9" t="str">
        <f t="shared" si="3"/>
        <v>ELIGIBLE</v>
      </c>
      <c r="N43" s="9" t="str" cm="1">
        <f t="array" ref="N43">_xlfn.IFS(I43&gt;=95%,"EXCELLENT",I43&gt;=85%,"VERY GOOD",I43&gt;=75%,"GOOD",I43&gt;=65%,"IMPROVEMENT",I43&gt;=40%,"POOR",I43&gt;=0%,"WORST")</f>
        <v>VERY GOOD</v>
      </c>
    </row>
    <row r="44" spans="1:14" ht="20.25" customHeight="1">
      <c r="A44" s="9" t="s">
        <v>98</v>
      </c>
      <c r="B44" s="9" t="s">
        <v>99</v>
      </c>
      <c r="C44" s="9" t="s">
        <v>21</v>
      </c>
      <c r="D44" s="9" t="s">
        <v>12</v>
      </c>
      <c r="E44" s="9">
        <v>46</v>
      </c>
      <c r="F44" s="9">
        <v>53</v>
      </c>
      <c r="G44" s="9">
        <v>49</v>
      </c>
      <c r="H44" s="9">
        <v>57</v>
      </c>
      <c r="I44" s="11">
        <v>0.7</v>
      </c>
      <c r="J44" s="9">
        <f t="shared" si="0"/>
        <v>205</v>
      </c>
      <c r="K44" s="11">
        <f t="shared" si="1"/>
        <v>0.51249999999999996</v>
      </c>
      <c r="L44" s="9" t="str">
        <f t="shared" si="2"/>
        <v>PASS</v>
      </c>
      <c r="M44" s="9" t="str">
        <f t="shared" si="3"/>
        <v>NOT ELIGIBLE</v>
      </c>
      <c r="N44" s="9" t="str" cm="1">
        <f t="array" ref="N44">_xlfn.IFS(I44&gt;=95%,"EXCELLENT",I44&gt;=85%,"VERY GOOD",I44&gt;=75%,"GOOD",I44&gt;=65%,"IMPROVEMENT",I44&gt;=40%,"POOR",I44&gt;=0%,"WORST")</f>
        <v>IMPROVEMENT</v>
      </c>
    </row>
    <row r="45" spans="1:14" ht="20.25" customHeight="1">
      <c r="A45" s="9" t="s">
        <v>100</v>
      </c>
      <c r="B45" s="9" t="s">
        <v>101</v>
      </c>
      <c r="C45" s="9" t="s">
        <v>18</v>
      </c>
      <c r="D45" s="9" t="s">
        <v>15</v>
      </c>
      <c r="E45" s="9">
        <v>75</v>
      </c>
      <c r="F45" s="9">
        <v>71</v>
      </c>
      <c r="G45" s="9">
        <v>79</v>
      </c>
      <c r="H45" s="9">
        <v>83</v>
      </c>
      <c r="I45" s="11">
        <v>0.88</v>
      </c>
      <c r="J45" s="9">
        <f t="shared" si="0"/>
        <v>308</v>
      </c>
      <c r="K45" s="11">
        <f t="shared" si="1"/>
        <v>0.77</v>
      </c>
      <c r="L45" s="9" t="str">
        <f t="shared" si="2"/>
        <v>PASS</v>
      </c>
      <c r="M45" s="9" t="str">
        <f t="shared" si="3"/>
        <v>ELIGIBLE</v>
      </c>
      <c r="N45" s="9" t="str" cm="1">
        <f t="array" ref="N45">_xlfn.IFS(I45&gt;=95%,"EXCELLENT",I45&gt;=85%,"VERY GOOD",I45&gt;=75%,"GOOD",I45&gt;=65%,"IMPROVEMENT",I45&gt;=40%,"POOR",I45&gt;=0%,"WORST")</f>
        <v>VERY GOOD</v>
      </c>
    </row>
    <row r="46" spans="1:14" ht="20.25" customHeight="1">
      <c r="A46" s="9" t="s">
        <v>102</v>
      </c>
      <c r="B46" s="9" t="s">
        <v>103</v>
      </c>
      <c r="C46" s="9" t="s">
        <v>11</v>
      </c>
      <c r="D46" s="9" t="s">
        <v>12</v>
      </c>
      <c r="E46" s="9">
        <v>87</v>
      </c>
      <c r="F46" s="9">
        <v>90</v>
      </c>
      <c r="G46" s="9">
        <v>84</v>
      </c>
      <c r="H46" s="9">
        <v>91</v>
      </c>
      <c r="I46" s="11">
        <v>0.95</v>
      </c>
      <c r="J46" s="9">
        <f t="shared" si="0"/>
        <v>352</v>
      </c>
      <c r="K46" s="11">
        <f t="shared" si="1"/>
        <v>0.88</v>
      </c>
      <c r="L46" s="9" t="str">
        <f t="shared" si="2"/>
        <v>PASS</v>
      </c>
      <c r="M46" s="9" t="str">
        <f t="shared" si="3"/>
        <v>ELIGIBLE</v>
      </c>
      <c r="N46" s="9" t="str" cm="1">
        <f t="array" ref="N46">_xlfn.IFS(I46&gt;=95%,"EXCELLENT",I46&gt;=85%,"VERY GOOD",I46&gt;=75%,"GOOD",I46&gt;=65%,"IMPROVEMENT",I46&gt;=40%,"POOR",I46&gt;=0%,"WORST")</f>
        <v>EXCELLENT</v>
      </c>
    </row>
    <row r="47" spans="1:14" ht="20.25" customHeight="1">
      <c r="A47" s="9" t="s">
        <v>104</v>
      </c>
      <c r="B47" s="9" t="s">
        <v>105</v>
      </c>
      <c r="C47" s="9" t="s">
        <v>21</v>
      </c>
      <c r="D47" s="9" t="s">
        <v>15</v>
      </c>
      <c r="E47" s="9">
        <v>69</v>
      </c>
      <c r="F47" s="9">
        <v>76</v>
      </c>
      <c r="G47" s="9">
        <v>72</v>
      </c>
      <c r="H47" s="9">
        <v>78</v>
      </c>
      <c r="I47" s="11">
        <v>0.86</v>
      </c>
      <c r="J47" s="9">
        <f t="shared" si="0"/>
        <v>295</v>
      </c>
      <c r="K47" s="11">
        <f t="shared" si="1"/>
        <v>0.73750000000000004</v>
      </c>
      <c r="L47" s="9" t="str">
        <f t="shared" si="2"/>
        <v>PASS</v>
      </c>
      <c r="M47" s="9" t="str">
        <f t="shared" si="3"/>
        <v>ELIGIBLE</v>
      </c>
      <c r="N47" s="9" t="str" cm="1">
        <f t="array" ref="N47">_xlfn.IFS(I47&gt;=95%,"EXCELLENT",I47&gt;=85%,"VERY GOOD",I47&gt;=75%,"GOOD",I47&gt;=65%,"IMPROVEMENT",I47&gt;=40%,"POOR",I47&gt;=0%,"WORST")</f>
        <v>VERY GOOD</v>
      </c>
    </row>
    <row r="48" spans="1:14" ht="20.25" customHeight="1">
      <c r="A48" s="9" t="s">
        <v>106</v>
      </c>
      <c r="B48" s="9" t="s">
        <v>107</v>
      </c>
      <c r="C48" s="9" t="s">
        <v>18</v>
      </c>
      <c r="D48" s="9" t="s">
        <v>12</v>
      </c>
      <c r="E48" s="9">
        <v>32</v>
      </c>
      <c r="F48" s="9">
        <v>39</v>
      </c>
      <c r="G48" s="9">
        <v>44</v>
      </c>
      <c r="H48" s="9">
        <v>47</v>
      </c>
      <c r="I48" s="11">
        <v>0.64</v>
      </c>
      <c r="J48" s="9">
        <f t="shared" si="0"/>
        <v>162</v>
      </c>
      <c r="K48" s="11">
        <f t="shared" si="1"/>
        <v>0.40500000000000003</v>
      </c>
      <c r="L48" s="9" t="str">
        <f t="shared" si="2"/>
        <v>FAIL</v>
      </c>
      <c r="M48" s="9" t="str">
        <f t="shared" si="3"/>
        <v>NOT ELIGIBLE</v>
      </c>
      <c r="N48" s="9" t="str" cm="1">
        <f t="array" ref="N48">_xlfn.IFS(I48&gt;=95%,"EXCELLENT",I48&gt;=85%,"VERY GOOD",I48&gt;=75%,"GOOD",I48&gt;=65%,"IMPROVEMENT",I48&gt;=40%,"POOR",I48&gt;=0%,"WORST")</f>
        <v>POOR</v>
      </c>
    </row>
    <row r="49" spans="1:14" ht="20.25" customHeight="1">
      <c r="A49" s="9" t="s">
        <v>108</v>
      </c>
      <c r="B49" s="9" t="s">
        <v>109</v>
      </c>
      <c r="C49" s="9" t="s">
        <v>11</v>
      </c>
      <c r="D49" s="9" t="s">
        <v>15</v>
      </c>
      <c r="E49" s="9">
        <v>94</v>
      </c>
      <c r="F49" s="9">
        <v>96</v>
      </c>
      <c r="G49" s="9">
        <v>91</v>
      </c>
      <c r="H49" s="9">
        <v>93</v>
      </c>
      <c r="I49" s="11">
        <v>0.99</v>
      </c>
      <c r="J49" s="9">
        <f t="shared" si="0"/>
        <v>374</v>
      </c>
      <c r="K49" s="11">
        <f t="shared" si="1"/>
        <v>0.93500000000000005</v>
      </c>
      <c r="L49" s="9" t="str">
        <f t="shared" si="2"/>
        <v>PASS</v>
      </c>
      <c r="M49" s="9" t="str">
        <f t="shared" si="3"/>
        <v>ELIGIBLE</v>
      </c>
      <c r="N49" s="9" t="str" cm="1">
        <f t="array" ref="N49">_xlfn.IFS(I49&gt;=95%,"EXCELLENT",I49&gt;=85%,"VERY GOOD",I49&gt;=75%,"GOOD",I49&gt;=65%,"IMPROVEMENT",I49&gt;=40%,"POOR",I49&gt;=0%,"WORST")</f>
        <v>EXCELLENT</v>
      </c>
    </row>
    <row r="50" spans="1:14" ht="20.25" customHeight="1">
      <c r="A50" s="9" t="s">
        <v>110</v>
      </c>
      <c r="B50" s="9" t="s">
        <v>111</v>
      </c>
      <c r="C50" s="9" t="s">
        <v>21</v>
      </c>
      <c r="D50" s="9" t="s">
        <v>12</v>
      </c>
      <c r="E50" s="9">
        <v>62</v>
      </c>
      <c r="F50" s="9">
        <v>68</v>
      </c>
      <c r="G50" s="9">
        <v>65</v>
      </c>
      <c r="H50" s="9">
        <v>73</v>
      </c>
      <c r="I50" s="11">
        <v>0.81</v>
      </c>
      <c r="J50" s="9">
        <f t="shared" si="0"/>
        <v>268</v>
      </c>
      <c r="K50" s="11">
        <f t="shared" si="1"/>
        <v>0.67</v>
      </c>
      <c r="L50" s="9" t="str">
        <f t="shared" si="2"/>
        <v>PASS</v>
      </c>
      <c r="M50" s="9" t="str">
        <f t="shared" si="3"/>
        <v>ELIGIBLE</v>
      </c>
      <c r="N50" s="9" t="str" cm="1">
        <f t="array" ref="N50">_xlfn.IFS(I50&gt;=95%,"EXCELLENT",I50&gt;=85%,"VERY GOOD",I50&gt;=75%,"GOOD",I50&gt;=65%,"IMPROVEMENT",I50&gt;=40%,"POOR",I50&gt;=0%,"WORST")</f>
        <v>GOOD</v>
      </c>
    </row>
    <row r="51" spans="1:14" ht="20.25" customHeight="1">
      <c r="A51" s="9" t="s">
        <v>112</v>
      </c>
      <c r="B51" s="9" t="s">
        <v>113</v>
      </c>
      <c r="C51" s="9" t="s">
        <v>18</v>
      </c>
      <c r="D51" s="9" t="s">
        <v>15</v>
      </c>
      <c r="E51" s="9">
        <v>78</v>
      </c>
      <c r="F51" s="9">
        <v>74</v>
      </c>
      <c r="G51" s="9">
        <v>82</v>
      </c>
      <c r="H51" s="9">
        <v>85</v>
      </c>
      <c r="I51" s="11">
        <v>0.9</v>
      </c>
      <c r="J51" s="9">
        <f t="shared" si="0"/>
        <v>319</v>
      </c>
      <c r="K51" s="11">
        <f t="shared" si="1"/>
        <v>0.79749999999999999</v>
      </c>
      <c r="L51" s="9" t="str">
        <f t="shared" si="2"/>
        <v>PASS</v>
      </c>
      <c r="M51" s="9" t="str">
        <f t="shared" si="3"/>
        <v>ELIGIBLE</v>
      </c>
      <c r="N51" s="9" t="str" cm="1">
        <f t="array" ref="N51">_xlfn.IFS(I51&gt;=95%,"EXCELLENT",I51&gt;=85%,"VERY GOOD",I51&gt;=75%,"GOOD",I51&gt;=65%,"IMPROVEMENT",I51&gt;=40%,"POOR",I51&gt;=0%,"WORST")</f>
        <v>VERY GOOD</v>
      </c>
    </row>
    <row r="52" spans="1:14" ht="20.25" customHeight="1">
      <c r="A52" s="9" t="s">
        <v>114</v>
      </c>
      <c r="B52" s="9" t="s">
        <v>115</v>
      </c>
      <c r="C52" s="9" t="s">
        <v>11</v>
      </c>
      <c r="D52" s="9" t="s">
        <v>12</v>
      </c>
      <c r="E52" s="9">
        <v>84</v>
      </c>
      <c r="F52" s="9">
        <v>89</v>
      </c>
      <c r="G52" s="9">
        <v>81</v>
      </c>
      <c r="H52" s="9">
        <v>86</v>
      </c>
      <c r="I52" s="11">
        <v>0.94</v>
      </c>
      <c r="J52" s="9">
        <f t="shared" si="0"/>
        <v>340</v>
      </c>
      <c r="K52" s="11">
        <f t="shared" si="1"/>
        <v>0.85</v>
      </c>
      <c r="L52" s="9" t="str">
        <f t="shared" si="2"/>
        <v>PASS</v>
      </c>
      <c r="M52" s="9" t="str">
        <f t="shared" si="3"/>
        <v>ELIGIBLE</v>
      </c>
      <c r="N52" s="9" t="str" cm="1">
        <f t="array" ref="N52">_xlfn.IFS(I52&gt;=95%,"EXCELLENT",I52&gt;=85%,"VERY GOOD",I52&gt;=75%,"GOOD",I52&gt;=65%,"IMPROVEMENT",I52&gt;=40%,"POOR",I52&gt;=0%,"WORST")</f>
        <v>VERY GOOD</v>
      </c>
    </row>
    <row r="53" spans="1:14" ht="20.25" customHeight="1">
      <c r="A53" s="9" t="s">
        <v>116</v>
      </c>
      <c r="B53" s="9" t="s">
        <v>117</v>
      </c>
      <c r="C53" s="9" t="s">
        <v>21</v>
      </c>
      <c r="D53" s="9" t="s">
        <v>15</v>
      </c>
      <c r="E53" s="9">
        <v>59</v>
      </c>
      <c r="F53" s="9">
        <v>63</v>
      </c>
      <c r="G53" s="9">
        <v>58</v>
      </c>
      <c r="H53" s="9">
        <v>66</v>
      </c>
      <c r="I53" s="11">
        <v>0.77</v>
      </c>
      <c r="J53" s="9">
        <f t="shared" si="0"/>
        <v>246</v>
      </c>
      <c r="K53" s="11">
        <f t="shared" si="1"/>
        <v>0.61499999999999999</v>
      </c>
      <c r="L53" s="9" t="str">
        <f t="shared" si="2"/>
        <v>PASS</v>
      </c>
      <c r="M53" s="9" t="str">
        <f t="shared" si="3"/>
        <v>ELIGIBLE</v>
      </c>
      <c r="N53" s="9" t="str" cm="1">
        <f t="array" ref="N53">_xlfn.IFS(I53&gt;=95%,"EXCELLENT",I53&gt;=85%,"VERY GOOD",I53&gt;=75%,"GOOD",I53&gt;=65%,"IMPROVEMENT",I53&gt;=40%,"POOR",I53&gt;=0%,"WORST")</f>
        <v>GOOD</v>
      </c>
    </row>
    <row r="54" spans="1:14" ht="20.25" customHeight="1">
      <c r="A54" s="9" t="s">
        <v>118</v>
      </c>
      <c r="B54" s="9" t="s">
        <v>119</v>
      </c>
      <c r="C54" s="9" t="s">
        <v>18</v>
      </c>
      <c r="D54" s="9" t="s">
        <v>12</v>
      </c>
      <c r="E54" s="9">
        <v>73</v>
      </c>
      <c r="F54" s="9">
        <v>70</v>
      </c>
      <c r="G54" s="9">
        <v>75</v>
      </c>
      <c r="H54" s="9">
        <v>79</v>
      </c>
      <c r="I54" s="11">
        <v>0.87</v>
      </c>
      <c r="J54" s="9">
        <f t="shared" si="0"/>
        <v>297</v>
      </c>
      <c r="K54" s="11">
        <f t="shared" si="1"/>
        <v>0.74250000000000005</v>
      </c>
      <c r="L54" s="9" t="str">
        <f t="shared" si="2"/>
        <v>PASS</v>
      </c>
      <c r="M54" s="9" t="str">
        <f t="shared" si="3"/>
        <v>ELIGIBLE</v>
      </c>
      <c r="N54" s="9" t="str" cm="1">
        <f t="array" ref="N54">_xlfn.IFS(I54&gt;=95%,"EXCELLENT",I54&gt;=85%,"VERY GOOD",I54&gt;=75%,"GOOD",I54&gt;=65%,"IMPROVEMENT",I54&gt;=40%,"POOR",I54&gt;=0%,"WORST")</f>
        <v>VERY GOOD</v>
      </c>
    </row>
    <row r="55" spans="1:14" ht="20.25" customHeight="1">
      <c r="A55" s="9" t="s">
        <v>120</v>
      </c>
      <c r="B55" s="9" t="s">
        <v>121</v>
      </c>
      <c r="C55" s="9" t="s">
        <v>11</v>
      </c>
      <c r="D55" s="9" t="s">
        <v>15</v>
      </c>
      <c r="E55" s="9">
        <v>91</v>
      </c>
      <c r="F55" s="9">
        <v>94</v>
      </c>
      <c r="G55" s="9">
        <v>89</v>
      </c>
      <c r="H55" s="9">
        <v>96</v>
      </c>
      <c r="I55" s="11">
        <v>0.98</v>
      </c>
      <c r="J55" s="9">
        <f t="shared" si="0"/>
        <v>370</v>
      </c>
      <c r="K55" s="11">
        <f t="shared" si="1"/>
        <v>0.92500000000000004</v>
      </c>
      <c r="L55" s="9" t="str">
        <f t="shared" si="2"/>
        <v>PASS</v>
      </c>
      <c r="M55" s="9" t="str">
        <f t="shared" si="3"/>
        <v>ELIGIBLE</v>
      </c>
      <c r="N55" s="9" t="str" cm="1">
        <f t="array" ref="N55">_xlfn.IFS(I55&gt;=95%,"EXCELLENT",I55&gt;=85%,"VERY GOOD",I55&gt;=75%,"GOOD",I55&gt;=65%,"IMPROVEMENT",I55&gt;=40%,"POOR",I55&gt;=0%,"WORST")</f>
        <v>EXCELLENT</v>
      </c>
    </row>
    <row r="56" spans="1:14" ht="20.25" customHeight="1">
      <c r="A56" s="9" t="s">
        <v>122</v>
      </c>
      <c r="B56" s="9" t="s">
        <v>123</v>
      </c>
      <c r="C56" s="9" t="s">
        <v>21</v>
      </c>
      <c r="D56" s="9" t="s">
        <v>12</v>
      </c>
      <c r="E56" s="9">
        <v>48</v>
      </c>
      <c r="F56" s="9">
        <v>55</v>
      </c>
      <c r="G56" s="9">
        <v>51</v>
      </c>
      <c r="H56" s="9">
        <v>59</v>
      </c>
      <c r="I56" s="11">
        <v>0.74</v>
      </c>
      <c r="J56" s="9">
        <f t="shared" si="0"/>
        <v>213</v>
      </c>
      <c r="K56" s="11">
        <f t="shared" si="1"/>
        <v>0.53249999999999997</v>
      </c>
      <c r="L56" s="9" t="str">
        <f t="shared" si="2"/>
        <v>PASS</v>
      </c>
      <c r="M56" s="9" t="str">
        <f t="shared" si="3"/>
        <v>NOT ELIGIBLE</v>
      </c>
      <c r="N56" s="9" t="str" cm="1">
        <f t="array" ref="N56">_xlfn.IFS(I56&gt;=95%,"EXCELLENT",I56&gt;=85%,"VERY GOOD",I56&gt;=75%,"GOOD",I56&gt;=65%,"IMPROVEMENT",I56&gt;=40%,"POOR",I56&gt;=0%,"WORST")</f>
        <v>IMPROVEMENT</v>
      </c>
    </row>
    <row r="57" spans="1:14" ht="20.25" customHeight="1">
      <c r="A57" s="9" t="s">
        <v>124</v>
      </c>
      <c r="B57" s="9" t="s">
        <v>125</v>
      </c>
      <c r="C57" s="9" t="s">
        <v>18</v>
      </c>
      <c r="D57" s="9" t="s">
        <v>15</v>
      </c>
      <c r="E57" s="9">
        <v>82</v>
      </c>
      <c r="F57" s="9">
        <v>78</v>
      </c>
      <c r="G57" s="9">
        <v>85</v>
      </c>
      <c r="H57" s="9">
        <v>90</v>
      </c>
      <c r="I57" s="11">
        <v>0.93</v>
      </c>
      <c r="J57" s="9">
        <f t="shared" si="0"/>
        <v>335</v>
      </c>
      <c r="K57" s="11">
        <f t="shared" si="1"/>
        <v>0.83750000000000002</v>
      </c>
      <c r="L57" s="9" t="str">
        <f t="shared" si="2"/>
        <v>PASS</v>
      </c>
      <c r="M57" s="9" t="str">
        <f t="shared" si="3"/>
        <v>ELIGIBLE</v>
      </c>
      <c r="N57" s="9" t="str" cm="1">
        <f t="array" ref="N57">_xlfn.IFS(I57&gt;=95%,"EXCELLENT",I57&gt;=85%,"VERY GOOD",I57&gt;=75%,"GOOD",I57&gt;=65%,"IMPROVEMENT",I57&gt;=40%,"POOR",I57&gt;=0%,"WORST")</f>
        <v>VERY GOOD</v>
      </c>
    </row>
    <row r="58" spans="1:14" ht="20.25" customHeight="1">
      <c r="A58" s="9" t="s">
        <v>126</v>
      </c>
      <c r="B58" s="9" t="s">
        <v>127</v>
      </c>
      <c r="C58" s="9" t="s">
        <v>11</v>
      </c>
      <c r="D58" s="9" t="s">
        <v>12</v>
      </c>
      <c r="E58" s="9">
        <v>66</v>
      </c>
      <c r="F58" s="9">
        <v>71</v>
      </c>
      <c r="G58" s="9">
        <v>68</v>
      </c>
      <c r="H58" s="9">
        <v>75</v>
      </c>
      <c r="I58" s="11">
        <v>0.84</v>
      </c>
      <c r="J58" s="9">
        <f t="shared" si="0"/>
        <v>280</v>
      </c>
      <c r="K58" s="11">
        <f t="shared" si="1"/>
        <v>0.7</v>
      </c>
      <c r="L58" s="9" t="str">
        <f t="shared" si="2"/>
        <v>PASS</v>
      </c>
      <c r="M58" s="9" t="str">
        <f t="shared" si="3"/>
        <v>ELIGIBLE</v>
      </c>
      <c r="N58" s="9" t="str" cm="1">
        <f t="array" ref="N58">_xlfn.IFS(I58&gt;=95%,"EXCELLENT",I58&gt;=85%,"VERY GOOD",I58&gt;=75%,"GOOD",I58&gt;=65%,"IMPROVEMENT",I58&gt;=40%,"POOR",I58&gt;=0%,"WORST")</f>
        <v>GOOD</v>
      </c>
    </row>
    <row r="59" spans="1:14" ht="20.25" customHeight="1">
      <c r="A59" s="9" t="s">
        <v>128</v>
      </c>
      <c r="B59" s="9" t="s">
        <v>129</v>
      </c>
      <c r="C59" s="9" t="s">
        <v>21</v>
      </c>
      <c r="D59" s="9" t="s">
        <v>15</v>
      </c>
      <c r="E59" s="9">
        <v>89</v>
      </c>
      <c r="F59" s="9">
        <v>85</v>
      </c>
      <c r="G59" s="9">
        <v>93</v>
      </c>
      <c r="H59" s="9">
        <v>92</v>
      </c>
      <c r="I59" s="11">
        <v>0.97</v>
      </c>
      <c r="J59" s="9">
        <f t="shared" si="0"/>
        <v>359</v>
      </c>
      <c r="K59" s="11">
        <f t="shared" si="1"/>
        <v>0.89749999999999996</v>
      </c>
      <c r="L59" s="9" t="str">
        <f t="shared" si="2"/>
        <v>PASS</v>
      </c>
      <c r="M59" s="9" t="str">
        <f t="shared" si="3"/>
        <v>ELIGIBLE</v>
      </c>
      <c r="N59" s="9" t="str" cm="1">
        <f t="array" ref="N59">_xlfn.IFS(I59&gt;=95%,"EXCELLENT",I59&gt;=85%,"VERY GOOD",I59&gt;=75%,"GOOD",I59&gt;=65%,"IMPROVEMENT",I59&gt;=40%,"POOR",I59&gt;=0%,"WORST")</f>
        <v>EXCELLENT</v>
      </c>
    </row>
    <row r="60" spans="1:14" ht="20.25" customHeight="1">
      <c r="A60" s="9" t="s">
        <v>130</v>
      </c>
      <c r="B60" s="9" t="s">
        <v>131</v>
      </c>
      <c r="C60" s="9" t="s">
        <v>18</v>
      </c>
      <c r="D60" s="9" t="s">
        <v>12</v>
      </c>
      <c r="E60" s="9">
        <v>55</v>
      </c>
      <c r="F60" s="9">
        <v>60</v>
      </c>
      <c r="G60" s="9">
        <v>53</v>
      </c>
      <c r="H60" s="9">
        <v>64</v>
      </c>
      <c r="I60" s="11">
        <v>0.76</v>
      </c>
      <c r="J60" s="9">
        <f t="shared" si="0"/>
        <v>232</v>
      </c>
      <c r="K60" s="11">
        <f t="shared" si="1"/>
        <v>0.57999999999999996</v>
      </c>
      <c r="L60" s="9" t="str">
        <f t="shared" si="2"/>
        <v>PASS</v>
      </c>
      <c r="M60" s="9" t="str">
        <f t="shared" si="3"/>
        <v>ELIGIBLE</v>
      </c>
      <c r="N60" s="9" t="str" cm="1">
        <f t="array" ref="N60">_xlfn.IFS(I60&gt;=95%,"EXCELLENT",I60&gt;=85%,"VERY GOOD",I60&gt;=75%,"GOOD",I60&gt;=65%,"IMPROVEMENT",I60&gt;=40%,"POOR",I60&gt;=0%,"WORST")</f>
        <v>GOOD</v>
      </c>
    </row>
    <row r="61" spans="1:14" ht="20.25" customHeight="1">
      <c r="A61" s="9" t="s">
        <v>132</v>
      </c>
      <c r="B61" s="9" t="s">
        <v>133</v>
      </c>
      <c r="C61" s="9" t="s">
        <v>11</v>
      </c>
      <c r="D61" s="9" t="s">
        <v>15</v>
      </c>
      <c r="E61" s="9">
        <v>76</v>
      </c>
      <c r="F61" s="9">
        <v>82</v>
      </c>
      <c r="G61" s="9">
        <v>79</v>
      </c>
      <c r="H61" s="9">
        <v>84</v>
      </c>
      <c r="I61" s="11">
        <v>0.91</v>
      </c>
      <c r="J61" s="9">
        <f t="shared" si="0"/>
        <v>321</v>
      </c>
      <c r="K61" s="11">
        <f t="shared" si="1"/>
        <v>0.80249999999999999</v>
      </c>
      <c r="L61" s="9" t="str">
        <f t="shared" si="2"/>
        <v>PASS</v>
      </c>
      <c r="M61" s="9" t="str">
        <f t="shared" si="3"/>
        <v>ELIGIBLE</v>
      </c>
      <c r="N61" s="9" t="str" cm="1">
        <f t="array" ref="N61">_xlfn.IFS(I61&gt;=95%,"EXCELLENT",I61&gt;=85%,"VERY GOOD",I61&gt;=75%,"GOOD",I61&gt;=65%,"IMPROVEMENT",I61&gt;=40%,"POOR",I61&gt;=0%,"WORST")</f>
        <v>VERY GOOD</v>
      </c>
    </row>
    <row r="62" spans="1:14" ht="20.25" customHeight="1">
      <c r="A62" s="9" t="s">
        <v>134</v>
      </c>
      <c r="B62" s="9" t="s">
        <v>135</v>
      </c>
      <c r="C62" s="9" t="s">
        <v>21</v>
      </c>
      <c r="D62" s="9" t="s">
        <v>12</v>
      </c>
      <c r="E62" s="9">
        <v>93</v>
      </c>
      <c r="F62" s="9">
        <v>90</v>
      </c>
      <c r="G62" s="9">
        <v>95</v>
      </c>
      <c r="H62" s="9">
        <v>97</v>
      </c>
      <c r="I62" s="11">
        <v>0.99</v>
      </c>
      <c r="J62" s="9">
        <f t="shared" si="0"/>
        <v>375</v>
      </c>
      <c r="K62" s="11">
        <f t="shared" si="1"/>
        <v>0.9375</v>
      </c>
      <c r="L62" s="9" t="str">
        <f t="shared" si="2"/>
        <v>PASS</v>
      </c>
      <c r="M62" s="9" t="str">
        <f t="shared" si="3"/>
        <v>ELIGIBLE</v>
      </c>
      <c r="N62" s="9" t="str" cm="1">
        <f t="array" ref="N62">_xlfn.IFS(I62&gt;=95%,"EXCELLENT",I62&gt;=85%,"VERY GOOD",I62&gt;=75%,"GOOD",I62&gt;=65%,"IMPROVEMENT",I62&gt;=40%,"POOR",I62&gt;=0%,"WORST")</f>
        <v>EXCELLENT</v>
      </c>
    </row>
    <row r="63" spans="1:14" ht="20.25" customHeight="1">
      <c r="A63" s="9" t="s">
        <v>136</v>
      </c>
      <c r="B63" s="9" t="s">
        <v>137</v>
      </c>
      <c r="C63" s="9" t="s">
        <v>18</v>
      </c>
      <c r="D63" s="9" t="s">
        <v>15</v>
      </c>
      <c r="E63" s="9">
        <v>71</v>
      </c>
      <c r="F63" s="9">
        <v>67</v>
      </c>
      <c r="G63" s="9">
        <v>73</v>
      </c>
      <c r="H63" s="9">
        <v>77</v>
      </c>
      <c r="I63" s="11">
        <v>0.85</v>
      </c>
      <c r="J63" s="9">
        <f t="shared" si="0"/>
        <v>288</v>
      </c>
      <c r="K63" s="11">
        <f t="shared" si="1"/>
        <v>0.72</v>
      </c>
      <c r="L63" s="9" t="str">
        <f t="shared" si="2"/>
        <v>PASS</v>
      </c>
      <c r="M63" s="9" t="str">
        <f t="shared" si="3"/>
        <v>ELIGIBLE</v>
      </c>
      <c r="N63" s="9" t="str" cm="1">
        <f t="array" ref="N63">_xlfn.IFS(I63&gt;=95%,"EXCELLENT",I63&gt;=85%,"VERY GOOD",I63&gt;=75%,"GOOD",I63&gt;=65%,"IMPROVEMENT",I63&gt;=40%,"POOR",I63&gt;=0%,"WORST")</f>
        <v>VERY GOOD</v>
      </c>
    </row>
    <row r="64" spans="1:14" ht="20.25" customHeight="1">
      <c r="A64" s="9" t="s">
        <v>138</v>
      </c>
      <c r="B64" s="9" t="s">
        <v>139</v>
      </c>
      <c r="C64" s="9" t="s">
        <v>11</v>
      </c>
      <c r="D64" s="9" t="s">
        <v>12</v>
      </c>
      <c r="E64" s="9">
        <v>45</v>
      </c>
      <c r="F64" s="9">
        <v>50</v>
      </c>
      <c r="G64" s="9">
        <v>47</v>
      </c>
      <c r="H64" s="9">
        <v>56</v>
      </c>
      <c r="I64" s="11">
        <v>0.72</v>
      </c>
      <c r="J64" s="9">
        <f t="shared" si="0"/>
        <v>198</v>
      </c>
      <c r="K64" s="11">
        <f t="shared" si="1"/>
        <v>0.495</v>
      </c>
      <c r="L64" s="9" t="str">
        <f t="shared" si="2"/>
        <v>PASS</v>
      </c>
      <c r="M64" s="9" t="str">
        <f t="shared" si="3"/>
        <v>NOT ELIGIBLE</v>
      </c>
      <c r="N64" s="9" t="str" cm="1">
        <f t="array" ref="N64">_xlfn.IFS(I64&gt;=95%,"EXCELLENT",I64&gt;=85%,"VERY GOOD",I64&gt;=75%,"GOOD",I64&gt;=65%,"IMPROVEMENT",I64&gt;=40%,"POOR",I64&gt;=0%,"WORST")</f>
        <v>IMPROVEMENT</v>
      </c>
    </row>
    <row r="65" spans="1:14" ht="20.25" customHeight="1">
      <c r="A65" s="9" t="s">
        <v>140</v>
      </c>
      <c r="B65" s="9" t="s">
        <v>141</v>
      </c>
      <c r="C65" s="9" t="s">
        <v>21</v>
      </c>
      <c r="D65" s="9" t="s">
        <v>15</v>
      </c>
      <c r="E65" s="9">
        <v>86</v>
      </c>
      <c r="F65" s="9">
        <v>91</v>
      </c>
      <c r="G65" s="9">
        <v>88</v>
      </c>
      <c r="H65" s="9">
        <v>94</v>
      </c>
      <c r="I65" s="11">
        <v>0.96</v>
      </c>
      <c r="J65" s="9">
        <f t="shared" si="0"/>
        <v>359</v>
      </c>
      <c r="K65" s="11">
        <f t="shared" si="1"/>
        <v>0.89749999999999996</v>
      </c>
      <c r="L65" s="9" t="str">
        <f t="shared" si="2"/>
        <v>PASS</v>
      </c>
      <c r="M65" s="9" t="str">
        <f t="shared" si="3"/>
        <v>ELIGIBLE</v>
      </c>
      <c r="N65" s="9" t="str" cm="1">
        <f t="array" ref="N65">_xlfn.IFS(I65&gt;=95%,"EXCELLENT",I65&gt;=85%,"VERY GOOD",I65&gt;=75%,"GOOD",I65&gt;=65%,"IMPROVEMENT",I65&gt;=40%,"POOR",I65&gt;=0%,"WORST")</f>
        <v>EXCELLENT</v>
      </c>
    </row>
    <row r="66" spans="1:14" ht="20.25" customHeight="1">
      <c r="A66" s="9" t="s">
        <v>142</v>
      </c>
      <c r="B66" s="9" t="s">
        <v>143</v>
      </c>
      <c r="C66" s="9" t="s">
        <v>18</v>
      </c>
      <c r="D66" s="9" t="s">
        <v>12</v>
      </c>
      <c r="E66" s="9">
        <v>60</v>
      </c>
      <c r="F66" s="9">
        <v>65</v>
      </c>
      <c r="G66" s="9">
        <v>62</v>
      </c>
      <c r="H66" s="9">
        <v>69</v>
      </c>
      <c r="I66" s="11">
        <v>0.8</v>
      </c>
      <c r="J66" s="9">
        <f t="shared" si="0"/>
        <v>256</v>
      </c>
      <c r="K66" s="11">
        <f t="shared" si="1"/>
        <v>0.64</v>
      </c>
      <c r="L66" s="9" t="str">
        <f t="shared" si="2"/>
        <v>PASS</v>
      </c>
      <c r="M66" s="9" t="str">
        <f t="shared" si="3"/>
        <v>ELIGIBLE</v>
      </c>
      <c r="N66" s="9" t="str" cm="1">
        <f t="array" ref="N66">_xlfn.IFS(I66&gt;=95%,"EXCELLENT",I66&gt;=85%,"VERY GOOD",I66&gt;=75%,"GOOD",I66&gt;=65%,"IMPROVEMENT",I66&gt;=40%,"POOR",I66&gt;=0%,"WORST")</f>
        <v>GOOD</v>
      </c>
    </row>
    <row r="67" spans="1:14" ht="20.25" customHeight="1">
      <c r="A67" s="9" t="s">
        <v>144</v>
      </c>
      <c r="B67" s="9" t="s">
        <v>145</v>
      </c>
      <c r="C67" s="9" t="s">
        <v>11</v>
      </c>
      <c r="D67" s="9" t="s">
        <v>15</v>
      </c>
      <c r="E67" s="9">
        <v>79</v>
      </c>
      <c r="F67" s="9">
        <v>84</v>
      </c>
      <c r="G67" s="9">
        <v>81</v>
      </c>
      <c r="H67" s="9">
        <v>87</v>
      </c>
      <c r="I67" s="11">
        <v>0.92</v>
      </c>
      <c r="J67" s="9">
        <f t="shared" ref="J67:J101" si="4">SUM(E67:H67)</f>
        <v>331</v>
      </c>
      <c r="K67" s="11">
        <f t="shared" ref="K67:K101" si="5">J67/400</f>
        <v>0.82750000000000001</v>
      </c>
      <c r="L67" s="9" t="str">
        <f t="shared" ref="L67:L101" si="6">IF(MIN(E67:H67)&gt;=40,"PASS","FAIL")</f>
        <v>PASS</v>
      </c>
      <c r="M67" s="9" t="str">
        <f t="shared" ref="M67:M101" si="7">IF(I67&gt;=75%,"ELIGIBLE","NOT ELIGIBLE")</f>
        <v>ELIGIBLE</v>
      </c>
      <c r="N67" s="9" t="str" cm="1">
        <f t="array" ref="N67">_xlfn.IFS(I67&gt;=95%,"EXCELLENT",I67&gt;=85%,"VERY GOOD",I67&gt;=75%,"GOOD",I67&gt;=65%,"IMPROVEMENT",I67&gt;=40%,"POOR",I67&gt;=0%,"WORST")</f>
        <v>VERY GOOD</v>
      </c>
    </row>
    <row r="68" spans="1:14" ht="20.25" customHeight="1">
      <c r="A68" s="9" t="s">
        <v>146</v>
      </c>
      <c r="B68" s="9" t="s">
        <v>147</v>
      </c>
      <c r="C68" s="9" t="s">
        <v>21</v>
      </c>
      <c r="D68" s="9" t="s">
        <v>12</v>
      </c>
      <c r="E68" s="9">
        <v>53</v>
      </c>
      <c r="F68" s="9">
        <v>57</v>
      </c>
      <c r="G68" s="9">
        <v>50</v>
      </c>
      <c r="H68" s="9">
        <v>61</v>
      </c>
      <c r="I68" s="11">
        <v>0.75</v>
      </c>
      <c r="J68" s="9">
        <f t="shared" si="4"/>
        <v>221</v>
      </c>
      <c r="K68" s="11">
        <f t="shared" si="5"/>
        <v>0.55249999999999999</v>
      </c>
      <c r="L68" s="9" t="str">
        <f t="shared" si="6"/>
        <v>PASS</v>
      </c>
      <c r="M68" s="9" t="str">
        <f t="shared" si="7"/>
        <v>ELIGIBLE</v>
      </c>
      <c r="N68" s="9" t="str" cm="1">
        <f t="array" ref="N68">_xlfn.IFS(I68&gt;=95%,"EXCELLENT",I68&gt;=85%,"VERY GOOD",I68&gt;=75%,"GOOD",I68&gt;=65%,"IMPROVEMENT",I68&gt;=40%,"POOR",I68&gt;=0%,"WORST")</f>
        <v>GOOD</v>
      </c>
    </row>
    <row r="69" spans="1:14" ht="20.25" customHeight="1">
      <c r="A69" s="9" t="s">
        <v>148</v>
      </c>
      <c r="B69" s="9" t="s">
        <v>149</v>
      </c>
      <c r="C69" s="9" t="s">
        <v>18</v>
      </c>
      <c r="D69" s="9" t="s">
        <v>15</v>
      </c>
      <c r="E69" s="9">
        <v>88</v>
      </c>
      <c r="F69" s="9">
        <v>92</v>
      </c>
      <c r="G69" s="9">
        <v>86</v>
      </c>
      <c r="H69" s="9">
        <v>90</v>
      </c>
      <c r="I69" s="11">
        <v>0.98</v>
      </c>
      <c r="J69" s="9">
        <f t="shared" si="4"/>
        <v>356</v>
      </c>
      <c r="K69" s="11">
        <f t="shared" si="5"/>
        <v>0.89</v>
      </c>
      <c r="L69" s="9" t="str">
        <f t="shared" si="6"/>
        <v>PASS</v>
      </c>
      <c r="M69" s="9" t="str">
        <f t="shared" si="7"/>
        <v>ELIGIBLE</v>
      </c>
      <c r="N69" s="9" t="str" cm="1">
        <f t="array" ref="N69">_xlfn.IFS(I69&gt;=95%,"EXCELLENT",I69&gt;=85%,"VERY GOOD",I69&gt;=75%,"GOOD",I69&gt;=65%,"IMPROVEMENT",I69&gt;=40%,"POOR",I69&gt;=0%,"WORST")</f>
        <v>EXCELLENT</v>
      </c>
    </row>
    <row r="70" spans="1:14" ht="20.25" customHeight="1">
      <c r="A70" s="9" t="s">
        <v>150</v>
      </c>
      <c r="B70" s="9" t="s">
        <v>151</v>
      </c>
      <c r="C70" s="9" t="s">
        <v>11</v>
      </c>
      <c r="D70" s="9" t="s">
        <v>12</v>
      </c>
      <c r="E70" s="9">
        <v>68</v>
      </c>
      <c r="F70" s="9">
        <v>74</v>
      </c>
      <c r="G70" s="9">
        <v>71</v>
      </c>
      <c r="H70" s="9">
        <v>76</v>
      </c>
      <c r="I70" s="11">
        <v>0.83</v>
      </c>
      <c r="J70" s="9">
        <f t="shared" si="4"/>
        <v>289</v>
      </c>
      <c r="K70" s="11">
        <f t="shared" si="5"/>
        <v>0.72250000000000003</v>
      </c>
      <c r="L70" s="9" t="str">
        <f t="shared" si="6"/>
        <v>PASS</v>
      </c>
      <c r="M70" s="9" t="str">
        <f t="shared" si="7"/>
        <v>ELIGIBLE</v>
      </c>
      <c r="N70" s="9" t="str" cm="1">
        <f t="array" ref="N70">_xlfn.IFS(I70&gt;=95%,"EXCELLENT",I70&gt;=85%,"VERY GOOD",I70&gt;=75%,"GOOD",I70&gt;=65%,"IMPROVEMENT",I70&gt;=40%,"POOR",I70&gt;=0%,"WORST")</f>
        <v>GOOD</v>
      </c>
    </row>
    <row r="71" spans="1:14" ht="20.25" customHeight="1">
      <c r="A71" s="9" t="s">
        <v>152</v>
      </c>
      <c r="B71" s="9" t="s">
        <v>153</v>
      </c>
      <c r="C71" s="9" t="s">
        <v>21</v>
      </c>
      <c r="D71" s="9" t="s">
        <v>15</v>
      </c>
      <c r="E71" s="9">
        <v>95</v>
      </c>
      <c r="F71" s="9">
        <v>89</v>
      </c>
      <c r="G71" s="9">
        <v>94</v>
      </c>
      <c r="H71" s="9">
        <v>96</v>
      </c>
      <c r="I71" s="11">
        <v>0.99</v>
      </c>
      <c r="J71" s="9">
        <f t="shared" si="4"/>
        <v>374</v>
      </c>
      <c r="K71" s="11">
        <f t="shared" si="5"/>
        <v>0.93500000000000005</v>
      </c>
      <c r="L71" s="9" t="str">
        <f t="shared" si="6"/>
        <v>PASS</v>
      </c>
      <c r="M71" s="9" t="str">
        <f t="shared" si="7"/>
        <v>ELIGIBLE</v>
      </c>
      <c r="N71" s="9" t="str" cm="1">
        <f t="array" ref="N71">_xlfn.IFS(I71&gt;=95%,"EXCELLENT",I71&gt;=85%,"VERY GOOD",I71&gt;=75%,"GOOD",I71&gt;=65%,"IMPROVEMENT",I71&gt;=40%,"POOR",I71&gt;=0%,"WORST")</f>
        <v>EXCELLENT</v>
      </c>
    </row>
    <row r="72" spans="1:14" ht="20.25" customHeight="1">
      <c r="A72" s="9" t="s">
        <v>154</v>
      </c>
      <c r="B72" s="9" t="s">
        <v>155</v>
      </c>
      <c r="C72" s="9" t="s">
        <v>18</v>
      </c>
      <c r="D72" s="9" t="s">
        <v>12</v>
      </c>
      <c r="E72" s="9">
        <v>39</v>
      </c>
      <c r="F72" s="9">
        <v>46</v>
      </c>
      <c r="G72" s="9">
        <v>42</v>
      </c>
      <c r="H72" s="9">
        <v>51</v>
      </c>
      <c r="I72" s="11">
        <v>0.68</v>
      </c>
      <c r="J72" s="9">
        <f t="shared" si="4"/>
        <v>178</v>
      </c>
      <c r="K72" s="11">
        <f t="shared" si="5"/>
        <v>0.44500000000000001</v>
      </c>
      <c r="L72" s="9" t="str">
        <f t="shared" si="6"/>
        <v>FAIL</v>
      </c>
      <c r="M72" s="9" t="str">
        <f t="shared" si="7"/>
        <v>NOT ELIGIBLE</v>
      </c>
      <c r="N72" s="9" t="str" cm="1">
        <f t="array" ref="N72">_xlfn.IFS(I72&gt;=95%,"EXCELLENT",I72&gt;=85%,"VERY GOOD",I72&gt;=75%,"GOOD",I72&gt;=65%,"IMPROVEMENT",I72&gt;=40%,"POOR",I72&gt;=0%,"WORST")</f>
        <v>IMPROVEMENT</v>
      </c>
    </row>
    <row r="73" spans="1:14" ht="20.25" customHeight="1">
      <c r="A73" s="9" t="s">
        <v>156</v>
      </c>
      <c r="B73" s="9" t="s">
        <v>157</v>
      </c>
      <c r="C73" s="9" t="s">
        <v>11</v>
      </c>
      <c r="D73" s="9" t="s">
        <v>15</v>
      </c>
      <c r="E73" s="9">
        <v>81</v>
      </c>
      <c r="F73" s="9">
        <v>86</v>
      </c>
      <c r="G73" s="9">
        <v>83</v>
      </c>
      <c r="H73" s="9">
        <v>88</v>
      </c>
      <c r="I73" s="11">
        <v>0.94</v>
      </c>
      <c r="J73" s="9">
        <f t="shared" si="4"/>
        <v>338</v>
      </c>
      <c r="K73" s="11">
        <f t="shared" si="5"/>
        <v>0.84499999999999997</v>
      </c>
      <c r="L73" s="9" t="str">
        <f t="shared" si="6"/>
        <v>PASS</v>
      </c>
      <c r="M73" s="9" t="str">
        <f t="shared" si="7"/>
        <v>ELIGIBLE</v>
      </c>
      <c r="N73" s="9" t="str" cm="1">
        <f t="array" ref="N73">_xlfn.IFS(I73&gt;=95%,"EXCELLENT",I73&gt;=85%,"VERY GOOD",I73&gt;=75%,"GOOD",I73&gt;=65%,"IMPROVEMENT",I73&gt;=40%,"POOR",I73&gt;=0%,"WORST")</f>
        <v>VERY GOOD</v>
      </c>
    </row>
    <row r="74" spans="1:14" ht="20.25" customHeight="1">
      <c r="A74" s="9" t="s">
        <v>158</v>
      </c>
      <c r="B74" s="9" t="s">
        <v>159</v>
      </c>
      <c r="C74" s="9" t="s">
        <v>21</v>
      </c>
      <c r="D74" s="9" t="s">
        <v>12</v>
      </c>
      <c r="E74" s="9">
        <v>74</v>
      </c>
      <c r="F74" s="9">
        <v>69</v>
      </c>
      <c r="G74" s="9">
        <v>77</v>
      </c>
      <c r="H74" s="9">
        <v>82</v>
      </c>
      <c r="I74" s="11">
        <v>0.89</v>
      </c>
      <c r="J74" s="9">
        <f t="shared" si="4"/>
        <v>302</v>
      </c>
      <c r="K74" s="11">
        <f t="shared" si="5"/>
        <v>0.755</v>
      </c>
      <c r="L74" s="9" t="str">
        <f t="shared" si="6"/>
        <v>PASS</v>
      </c>
      <c r="M74" s="9" t="str">
        <f t="shared" si="7"/>
        <v>ELIGIBLE</v>
      </c>
      <c r="N74" s="9" t="str" cm="1">
        <f t="array" ref="N74">_xlfn.IFS(I74&gt;=95%,"EXCELLENT",I74&gt;=85%,"VERY GOOD",I74&gt;=75%,"GOOD",I74&gt;=65%,"IMPROVEMENT",I74&gt;=40%,"POOR",I74&gt;=0%,"WORST")</f>
        <v>VERY GOOD</v>
      </c>
    </row>
    <row r="75" spans="1:14" ht="20.25" customHeight="1">
      <c r="A75" s="9" t="s">
        <v>160</v>
      </c>
      <c r="B75" s="9" t="s">
        <v>161</v>
      </c>
      <c r="C75" s="9" t="s">
        <v>18</v>
      </c>
      <c r="D75" s="9" t="s">
        <v>15</v>
      </c>
      <c r="E75" s="9">
        <v>92</v>
      </c>
      <c r="F75" s="9">
        <v>96</v>
      </c>
      <c r="G75" s="9">
        <v>91</v>
      </c>
      <c r="H75" s="9">
        <v>95</v>
      </c>
      <c r="I75" s="11">
        <v>0.98</v>
      </c>
      <c r="J75" s="9">
        <f t="shared" si="4"/>
        <v>374</v>
      </c>
      <c r="K75" s="11">
        <f t="shared" si="5"/>
        <v>0.93500000000000005</v>
      </c>
      <c r="L75" s="9" t="str">
        <f t="shared" si="6"/>
        <v>PASS</v>
      </c>
      <c r="M75" s="9" t="str">
        <f t="shared" si="7"/>
        <v>ELIGIBLE</v>
      </c>
      <c r="N75" s="9" t="str" cm="1">
        <f t="array" ref="N75">_xlfn.IFS(I75&gt;=95%,"EXCELLENT",I75&gt;=85%,"VERY GOOD",I75&gt;=75%,"GOOD",I75&gt;=65%,"IMPROVEMENT",I75&gt;=40%,"POOR",I75&gt;=0%,"WORST")</f>
        <v>EXCELLENT</v>
      </c>
    </row>
    <row r="76" spans="1:14" ht="20.25" customHeight="1">
      <c r="A76" s="9" t="s">
        <v>162</v>
      </c>
      <c r="B76" s="9" t="s">
        <v>163</v>
      </c>
      <c r="C76" s="9" t="s">
        <v>11</v>
      </c>
      <c r="D76" s="9" t="s">
        <v>12</v>
      </c>
      <c r="E76" s="9">
        <v>58</v>
      </c>
      <c r="F76" s="9">
        <v>54</v>
      </c>
      <c r="G76" s="9">
        <v>60</v>
      </c>
      <c r="H76" s="9">
        <v>67</v>
      </c>
      <c r="I76" s="11">
        <v>0.78</v>
      </c>
      <c r="J76" s="9">
        <f t="shared" si="4"/>
        <v>239</v>
      </c>
      <c r="K76" s="11">
        <f t="shared" si="5"/>
        <v>0.59750000000000003</v>
      </c>
      <c r="L76" s="9" t="str">
        <f t="shared" si="6"/>
        <v>PASS</v>
      </c>
      <c r="M76" s="9" t="str">
        <f t="shared" si="7"/>
        <v>ELIGIBLE</v>
      </c>
      <c r="N76" s="9" t="str" cm="1">
        <f t="array" ref="N76">_xlfn.IFS(I76&gt;=95%,"EXCELLENT",I76&gt;=85%,"VERY GOOD",I76&gt;=75%,"GOOD",I76&gt;=65%,"IMPROVEMENT",I76&gt;=40%,"POOR",I76&gt;=0%,"WORST")</f>
        <v>GOOD</v>
      </c>
    </row>
    <row r="77" spans="1:14" ht="20.25" customHeight="1">
      <c r="A77" s="9" t="s">
        <v>164</v>
      </c>
      <c r="B77" s="9" t="s">
        <v>165</v>
      </c>
      <c r="C77" s="9" t="s">
        <v>21</v>
      </c>
      <c r="D77" s="9" t="s">
        <v>12</v>
      </c>
      <c r="E77" s="9">
        <v>77</v>
      </c>
      <c r="F77" s="9">
        <v>81</v>
      </c>
      <c r="G77" s="9">
        <v>75</v>
      </c>
      <c r="H77" s="9">
        <v>84</v>
      </c>
      <c r="I77" s="11">
        <v>0.9</v>
      </c>
      <c r="J77" s="9">
        <f t="shared" si="4"/>
        <v>317</v>
      </c>
      <c r="K77" s="11">
        <f t="shared" si="5"/>
        <v>0.79249999999999998</v>
      </c>
      <c r="L77" s="9" t="str">
        <f t="shared" si="6"/>
        <v>PASS</v>
      </c>
      <c r="M77" s="9" t="str">
        <f t="shared" si="7"/>
        <v>ELIGIBLE</v>
      </c>
      <c r="N77" s="9" t="str" cm="1">
        <f t="array" ref="N77">_xlfn.IFS(I77&gt;=95%,"EXCELLENT",I77&gt;=85%,"VERY GOOD",I77&gt;=75%,"GOOD",I77&gt;=65%,"IMPROVEMENT",I77&gt;=40%,"POOR",I77&gt;=0%,"WORST")</f>
        <v>VERY GOOD</v>
      </c>
    </row>
    <row r="78" spans="1:14" ht="20.25" customHeight="1">
      <c r="A78" s="9" t="s">
        <v>166</v>
      </c>
      <c r="B78" s="9" t="s">
        <v>167</v>
      </c>
      <c r="C78" s="9" t="s">
        <v>18</v>
      </c>
      <c r="D78" s="9" t="s">
        <v>15</v>
      </c>
      <c r="E78" s="9">
        <v>85</v>
      </c>
      <c r="F78" s="9">
        <v>88</v>
      </c>
      <c r="G78" s="9">
        <v>82</v>
      </c>
      <c r="H78" s="9">
        <v>91</v>
      </c>
      <c r="I78" s="11">
        <v>0.95</v>
      </c>
      <c r="J78" s="9">
        <f t="shared" si="4"/>
        <v>346</v>
      </c>
      <c r="K78" s="11">
        <f t="shared" si="5"/>
        <v>0.86499999999999999</v>
      </c>
      <c r="L78" s="9" t="str">
        <f t="shared" si="6"/>
        <v>PASS</v>
      </c>
      <c r="M78" s="9" t="str">
        <f t="shared" si="7"/>
        <v>ELIGIBLE</v>
      </c>
      <c r="N78" s="9" t="str" cm="1">
        <f t="array" ref="N78">_xlfn.IFS(I78&gt;=95%,"EXCELLENT",I78&gt;=85%,"VERY GOOD",I78&gt;=75%,"GOOD",I78&gt;=65%,"IMPROVEMENT",I78&gt;=40%,"POOR",I78&gt;=0%,"WORST")</f>
        <v>EXCELLENT</v>
      </c>
    </row>
    <row r="79" spans="1:14" ht="20.25" customHeight="1">
      <c r="A79" s="9" t="s">
        <v>168</v>
      </c>
      <c r="B79" s="9" t="s">
        <v>169</v>
      </c>
      <c r="C79" s="9" t="s">
        <v>11</v>
      </c>
      <c r="D79" s="9" t="s">
        <v>15</v>
      </c>
      <c r="E79" s="9">
        <v>70</v>
      </c>
      <c r="F79" s="9">
        <v>76</v>
      </c>
      <c r="G79" s="9">
        <v>73</v>
      </c>
      <c r="H79" s="9">
        <v>79</v>
      </c>
      <c r="I79" s="11">
        <v>0.86</v>
      </c>
      <c r="J79" s="9">
        <f t="shared" si="4"/>
        <v>298</v>
      </c>
      <c r="K79" s="11">
        <f t="shared" si="5"/>
        <v>0.745</v>
      </c>
      <c r="L79" s="9" t="str">
        <f t="shared" si="6"/>
        <v>PASS</v>
      </c>
      <c r="M79" s="9" t="str">
        <f t="shared" si="7"/>
        <v>ELIGIBLE</v>
      </c>
      <c r="N79" s="9" t="str" cm="1">
        <f t="array" ref="N79">_xlfn.IFS(I79&gt;=95%,"EXCELLENT",I79&gt;=85%,"VERY GOOD",I79&gt;=75%,"GOOD",I79&gt;=65%,"IMPROVEMENT",I79&gt;=40%,"POOR",I79&gt;=0%,"WORST")</f>
        <v>VERY GOOD</v>
      </c>
    </row>
    <row r="80" spans="1:14" ht="20.25" customHeight="1">
      <c r="A80" s="9" t="s">
        <v>170</v>
      </c>
      <c r="B80" s="9" t="s">
        <v>171</v>
      </c>
      <c r="C80" s="9" t="s">
        <v>21</v>
      </c>
      <c r="D80" s="9" t="s">
        <v>12</v>
      </c>
      <c r="E80" s="9">
        <v>43</v>
      </c>
      <c r="F80" s="9">
        <v>49</v>
      </c>
      <c r="G80" s="9">
        <v>45</v>
      </c>
      <c r="H80" s="9">
        <v>54</v>
      </c>
      <c r="I80" s="11">
        <v>0.7</v>
      </c>
      <c r="J80" s="9">
        <f t="shared" si="4"/>
        <v>191</v>
      </c>
      <c r="K80" s="11">
        <f t="shared" si="5"/>
        <v>0.47749999999999998</v>
      </c>
      <c r="L80" s="9" t="str">
        <f t="shared" si="6"/>
        <v>PASS</v>
      </c>
      <c r="M80" s="9" t="str">
        <f t="shared" si="7"/>
        <v>NOT ELIGIBLE</v>
      </c>
      <c r="N80" s="9" t="str" cm="1">
        <f t="array" ref="N80">_xlfn.IFS(I80&gt;=95%,"EXCELLENT",I80&gt;=85%,"VERY GOOD",I80&gt;=75%,"GOOD",I80&gt;=65%,"IMPROVEMENT",I80&gt;=40%,"POOR",I80&gt;=0%,"WORST")</f>
        <v>IMPROVEMENT</v>
      </c>
    </row>
    <row r="81" spans="1:14" ht="20.25" customHeight="1">
      <c r="A81" s="9" t="s">
        <v>172</v>
      </c>
      <c r="B81" s="9" t="s">
        <v>173</v>
      </c>
      <c r="C81" s="9" t="s">
        <v>18</v>
      </c>
      <c r="D81" s="9" t="s">
        <v>15</v>
      </c>
      <c r="E81" s="9">
        <v>90</v>
      </c>
      <c r="F81" s="9">
        <v>87</v>
      </c>
      <c r="G81" s="9">
        <v>93</v>
      </c>
      <c r="H81" s="9">
        <v>96</v>
      </c>
      <c r="I81" s="11">
        <v>0.98</v>
      </c>
      <c r="J81" s="9">
        <f t="shared" si="4"/>
        <v>366</v>
      </c>
      <c r="K81" s="11">
        <f t="shared" si="5"/>
        <v>0.91500000000000004</v>
      </c>
      <c r="L81" s="9" t="str">
        <f t="shared" si="6"/>
        <v>PASS</v>
      </c>
      <c r="M81" s="9" t="str">
        <f t="shared" si="7"/>
        <v>ELIGIBLE</v>
      </c>
      <c r="N81" s="9" t="str" cm="1">
        <f t="array" ref="N81">_xlfn.IFS(I81&gt;=95%,"EXCELLENT",I81&gt;=85%,"VERY GOOD",I81&gt;=75%,"GOOD",I81&gt;=65%,"IMPROVEMENT",I81&gt;=40%,"POOR",I81&gt;=0%,"WORST")</f>
        <v>EXCELLENT</v>
      </c>
    </row>
    <row r="82" spans="1:14" ht="20.25" customHeight="1">
      <c r="A82" s="9" t="s">
        <v>174</v>
      </c>
      <c r="B82" s="9" t="s">
        <v>175</v>
      </c>
      <c r="C82" s="9" t="s">
        <v>11</v>
      </c>
      <c r="D82" s="9" t="s">
        <v>12</v>
      </c>
      <c r="E82" s="9">
        <v>64</v>
      </c>
      <c r="F82" s="9">
        <v>69</v>
      </c>
      <c r="G82" s="9">
        <v>66</v>
      </c>
      <c r="H82" s="9">
        <v>72</v>
      </c>
      <c r="I82" s="11">
        <v>0.82</v>
      </c>
      <c r="J82" s="9">
        <f t="shared" si="4"/>
        <v>271</v>
      </c>
      <c r="K82" s="11">
        <f t="shared" si="5"/>
        <v>0.67749999999999999</v>
      </c>
      <c r="L82" s="9" t="str">
        <f t="shared" si="6"/>
        <v>PASS</v>
      </c>
      <c r="M82" s="9" t="str">
        <f t="shared" si="7"/>
        <v>ELIGIBLE</v>
      </c>
      <c r="N82" s="9" t="str" cm="1">
        <f t="array" ref="N82">_xlfn.IFS(I82&gt;=95%,"EXCELLENT",I82&gt;=85%,"VERY GOOD",I82&gt;=75%,"GOOD",I82&gt;=65%,"IMPROVEMENT",I82&gt;=40%,"POOR",I82&gt;=0%,"WORST")</f>
        <v>GOOD</v>
      </c>
    </row>
    <row r="83" spans="1:14" ht="20.25" customHeight="1">
      <c r="A83" s="9" t="s">
        <v>176</v>
      </c>
      <c r="B83" s="9" t="s">
        <v>177</v>
      </c>
      <c r="C83" s="9" t="s">
        <v>21</v>
      </c>
      <c r="D83" s="9" t="s">
        <v>15</v>
      </c>
      <c r="E83" s="9">
        <v>83</v>
      </c>
      <c r="F83" s="9">
        <v>79</v>
      </c>
      <c r="G83" s="9">
        <v>87</v>
      </c>
      <c r="H83" s="9">
        <v>89</v>
      </c>
      <c r="I83" s="11">
        <v>0.93</v>
      </c>
      <c r="J83" s="9">
        <f t="shared" si="4"/>
        <v>338</v>
      </c>
      <c r="K83" s="11">
        <f t="shared" si="5"/>
        <v>0.84499999999999997</v>
      </c>
      <c r="L83" s="9" t="str">
        <f t="shared" si="6"/>
        <v>PASS</v>
      </c>
      <c r="M83" s="9" t="str">
        <f t="shared" si="7"/>
        <v>ELIGIBLE</v>
      </c>
      <c r="N83" s="9" t="str" cm="1">
        <f t="array" ref="N83">_xlfn.IFS(I83&gt;=95%,"EXCELLENT",I83&gt;=85%,"VERY GOOD",I83&gt;=75%,"GOOD",I83&gt;=65%,"IMPROVEMENT",I83&gt;=40%,"POOR",I83&gt;=0%,"WORST")</f>
        <v>VERY GOOD</v>
      </c>
    </row>
    <row r="84" spans="1:14" ht="20.25" customHeight="1">
      <c r="A84" s="9" t="s">
        <v>178</v>
      </c>
      <c r="B84" s="9" t="s">
        <v>179</v>
      </c>
      <c r="C84" s="9" t="s">
        <v>18</v>
      </c>
      <c r="D84" s="9" t="s">
        <v>12</v>
      </c>
      <c r="E84" s="9">
        <v>51</v>
      </c>
      <c r="F84" s="9">
        <v>56</v>
      </c>
      <c r="G84" s="9">
        <v>54</v>
      </c>
      <c r="H84" s="9">
        <v>63</v>
      </c>
      <c r="I84" s="11">
        <v>0.76</v>
      </c>
      <c r="J84" s="9">
        <f t="shared" si="4"/>
        <v>224</v>
      </c>
      <c r="K84" s="11">
        <f t="shared" si="5"/>
        <v>0.56000000000000005</v>
      </c>
      <c r="L84" s="9" t="str">
        <f t="shared" si="6"/>
        <v>PASS</v>
      </c>
      <c r="M84" s="9" t="str">
        <f t="shared" si="7"/>
        <v>ELIGIBLE</v>
      </c>
      <c r="N84" s="9" t="str" cm="1">
        <f t="array" ref="N84">_xlfn.IFS(I84&gt;=95%,"EXCELLENT",I84&gt;=85%,"VERY GOOD",I84&gt;=75%,"GOOD",I84&gt;=65%,"IMPROVEMENT",I84&gt;=40%,"POOR",I84&gt;=0%,"WORST")</f>
        <v>GOOD</v>
      </c>
    </row>
    <row r="85" spans="1:14" ht="20.25" customHeight="1">
      <c r="A85" s="9" t="s">
        <v>180</v>
      </c>
      <c r="B85" s="9" t="s">
        <v>181</v>
      </c>
      <c r="C85" s="9" t="s">
        <v>11</v>
      </c>
      <c r="D85" s="9" t="s">
        <v>15</v>
      </c>
      <c r="E85" s="9">
        <v>96</v>
      </c>
      <c r="F85" s="9">
        <v>94</v>
      </c>
      <c r="G85" s="9">
        <v>97</v>
      </c>
      <c r="H85" s="9">
        <v>98</v>
      </c>
      <c r="I85" s="11">
        <v>1</v>
      </c>
      <c r="J85" s="9">
        <f t="shared" si="4"/>
        <v>385</v>
      </c>
      <c r="K85" s="11">
        <f t="shared" si="5"/>
        <v>0.96250000000000002</v>
      </c>
      <c r="L85" s="9" t="str">
        <f t="shared" si="6"/>
        <v>PASS</v>
      </c>
      <c r="M85" s="9" t="str">
        <f t="shared" si="7"/>
        <v>ELIGIBLE</v>
      </c>
      <c r="N85" s="9" t="str" cm="1">
        <f t="array" ref="N85">_xlfn.IFS(I85&gt;=95%,"EXCELLENT",I85&gt;=85%,"VERY GOOD",I85&gt;=75%,"GOOD",I85&gt;=65%,"IMPROVEMENT",I85&gt;=40%,"POOR",I85&gt;=0%,"WORST")</f>
        <v>EXCELLENT</v>
      </c>
    </row>
    <row r="86" spans="1:14" ht="20.25" customHeight="1">
      <c r="A86" s="9" t="s">
        <v>182</v>
      </c>
      <c r="B86" s="9" t="s">
        <v>183</v>
      </c>
      <c r="C86" s="9" t="s">
        <v>21</v>
      </c>
      <c r="D86" s="9" t="s">
        <v>12</v>
      </c>
      <c r="E86" s="9">
        <v>72</v>
      </c>
      <c r="F86" s="9">
        <v>77</v>
      </c>
      <c r="G86" s="9">
        <v>70</v>
      </c>
      <c r="H86" s="9">
        <v>81</v>
      </c>
      <c r="I86" s="11">
        <v>0.88</v>
      </c>
      <c r="J86" s="9">
        <f t="shared" si="4"/>
        <v>300</v>
      </c>
      <c r="K86" s="11">
        <f t="shared" si="5"/>
        <v>0.75</v>
      </c>
      <c r="L86" s="9" t="str">
        <f t="shared" si="6"/>
        <v>PASS</v>
      </c>
      <c r="M86" s="9" t="str">
        <f t="shared" si="7"/>
        <v>ELIGIBLE</v>
      </c>
      <c r="N86" s="9" t="str" cm="1">
        <f t="array" ref="N86">_xlfn.IFS(I86&gt;=95%,"EXCELLENT",I86&gt;=85%,"VERY GOOD",I86&gt;=75%,"GOOD",I86&gt;=65%,"IMPROVEMENT",I86&gt;=40%,"POOR",I86&gt;=0%,"WORST")</f>
        <v>VERY GOOD</v>
      </c>
    </row>
    <row r="87" spans="1:14" ht="20.25" customHeight="1">
      <c r="A87" s="9" t="s">
        <v>184</v>
      </c>
      <c r="B87" s="9" t="s">
        <v>185</v>
      </c>
      <c r="C87" s="9" t="s">
        <v>18</v>
      </c>
      <c r="D87" s="9" t="s">
        <v>15</v>
      </c>
      <c r="E87" s="9">
        <v>79</v>
      </c>
      <c r="F87" s="9">
        <v>85</v>
      </c>
      <c r="G87" s="9">
        <v>82</v>
      </c>
      <c r="H87" s="9">
        <v>86</v>
      </c>
      <c r="I87" s="11">
        <v>0.92</v>
      </c>
      <c r="J87" s="9">
        <f t="shared" si="4"/>
        <v>332</v>
      </c>
      <c r="K87" s="11">
        <f t="shared" si="5"/>
        <v>0.83</v>
      </c>
      <c r="L87" s="9" t="str">
        <f t="shared" si="6"/>
        <v>PASS</v>
      </c>
      <c r="M87" s="9" t="str">
        <f t="shared" si="7"/>
        <v>ELIGIBLE</v>
      </c>
      <c r="N87" s="9" t="str" cm="1">
        <f t="array" ref="N87">_xlfn.IFS(I87&gt;=95%,"EXCELLENT",I87&gt;=85%,"VERY GOOD",I87&gt;=75%,"GOOD",I87&gt;=65%,"IMPROVEMENT",I87&gt;=40%,"POOR",I87&gt;=0%,"WORST")</f>
        <v>VERY GOOD</v>
      </c>
    </row>
    <row r="88" spans="1:14" ht="20.25" customHeight="1">
      <c r="A88" s="9" t="s">
        <v>186</v>
      </c>
      <c r="B88" s="9" t="s">
        <v>187</v>
      </c>
      <c r="C88" s="9" t="s">
        <v>11</v>
      </c>
      <c r="D88" s="9" t="s">
        <v>12</v>
      </c>
      <c r="E88" s="9">
        <v>46</v>
      </c>
      <c r="F88" s="9">
        <v>52</v>
      </c>
      <c r="G88" s="9">
        <v>48</v>
      </c>
      <c r="H88" s="9">
        <v>57</v>
      </c>
      <c r="I88" s="11">
        <v>0.73</v>
      </c>
      <c r="J88" s="9">
        <f t="shared" si="4"/>
        <v>203</v>
      </c>
      <c r="K88" s="11">
        <f t="shared" si="5"/>
        <v>0.50749999999999995</v>
      </c>
      <c r="L88" s="9" t="str">
        <f t="shared" si="6"/>
        <v>PASS</v>
      </c>
      <c r="M88" s="9" t="str">
        <f t="shared" si="7"/>
        <v>NOT ELIGIBLE</v>
      </c>
      <c r="N88" s="9" t="str" cm="1">
        <f t="array" ref="N88">_xlfn.IFS(I88&gt;=95%,"EXCELLENT",I88&gt;=85%,"VERY GOOD",I88&gt;=75%,"GOOD",I88&gt;=65%,"IMPROVEMENT",I88&gt;=40%,"POOR",I88&gt;=0%,"WORST")</f>
        <v>IMPROVEMENT</v>
      </c>
    </row>
    <row r="89" spans="1:14" ht="20.25" customHeight="1">
      <c r="A89" s="9" t="s">
        <v>188</v>
      </c>
      <c r="B89" s="9" t="s">
        <v>189</v>
      </c>
      <c r="C89" s="9" t="s">
        <v>21</v>
      </c>
      <c r="D89" s="9" t="s">
        <v>15</v>
      </c>
      <c r="E89" s="9">
        <v>87</v>
      </c>
      <c r="F89" s="9">
        <v>91</v>
      </c>
      <c r="G89" s="9">
        <v>89</v>
      </c>
      <c r="H89" s="9">
        <v>94</v>
      </c>
      <c r="I89" s="11">
        <v>0.97</v>
      </c>
      <c r="J89" s="9">
        <f t="shared" si="4"/>
        <v>361</v>
      </c>
      <c r="K89" s="11">
        <f t="shared" si="5"/>
        <v>0.90249999999999997</v>
      </c>
      <c r="L89" s="9" t="str">
        <f t="shared" si="6"/>
        <v>PASS</v>
      </c>
      <c r="M89" s="9" t="str">
        <f t="shared" si="7"/>
        <v>ELIGIBLE</v>
      </c>
      <c r="N89" s="9" t="str" cm="1">
        <f t="array" ref="N89">_xlfn.IFS(I89&gt;=95%,"EXCELLENT",I89&gt;=85%,"VERY GOOD",I89&gt;=75%,"GOOD",I89&gt;=65%,"IMPROVEMENT",I89&gt;=40%,"POOR",I89&gt;=0%,"WORST")</f>
        <v>EXCELLENT</v>
      </c>
    </row>
    <row r="90" spans="1:14" ht="20.25" customHeight="1">
      <c r="A90" s="9" t="s">
        <v>190</v>
      </c>
      <c r="B90" s="9" t="s">
        <v>191</v>
      </c>
      <c r="C90" s="9" t="s">
        <v>18</v>
      </c>
      <c r="D90" s="9" t="s">
        <v>12</v>
      </c>
      <c r="E90" s="9">
        <v>61</v>
      </c>
      <c r="F90" s="9">
        <v>66</v>
      </c>
      <c r="G90" s="9">
        <v>63</v>
      </c>
      <c r="H90" s="9">
        <v>71</v>
      </c>
      <c r="I90" s="11">
        <v>0.8</v>
      </c>
      <c r="J90" s="9">
        <f t="shared" si="4"/>
        <v>261</v>
      </c>
      <c r="K90" s="11">
        <f t="shared" si="5"/>
        <v>0.65249999999999997</v>
      </c>
      <c r="L90" s="9" t="str">
        <f t="shared" si="6"/>
        <v>PASS</v>
      </c>
      <c r="M90" s="9" t="str">
        <f t="shared" si="7"/>
        <v>ELIGIBLE</v>
      </c>
      <c r="N90" s="9" t="str" cm="1">
        <f t="array" ref="N90">_xlfn.IFS(I90&gt;=95%,"EXCELLENT",I90&gt;=85%,"VERY GOOD",I90&gt;=75%,"GOOD",I90&gt;=65%,"IMPROVEMENT",I90&gt;=40%,"POOR",I90&gt;=0%,"WORST")</f>
        <v>GOOD</v>
      </c>
    </row>
    <row r="91" spans="1:14" ht="20.25" customHeight="1">
      <c r="A91" s="9" t="s">
        <v>192</v>
      </c>
      <c r="B91" s="9" t="s">
        <v>193</v>
      </c>
      <c r="C91" s="9" t="s">
        <v>11</v>
      </c>
      <c r="D91" s="9" t="s">
        <v>15</v>
      </c>
      <c r="E91" s="9">
        <v>93</v>
      </c>
      <c r="F91" s="9">
        <v>95</v>
      </c>
      <c r="G91" s="9">
        <v>92</v>
      </c>
      <c r="H91" s="9">
        <v>97</v>
      </c>
      <c r="I91" s="11">
        <v>0.99</v>
      </c>
      <c r="J91" s="9">
        <f t="shared" si="4"/>
        <v>377</v>
      </c>
      <c r="K91" s="11">
        <f t="shared" si="5"/>
        <v>0.9425</v>
      </c>
      <c r="L91" s="9" t="str">
        <f t="shared" si="6"/>
        <v>PASS</v>
      </c>
      <c r="M91" s="9" t="str">
        <f t="shared" si="7"/>
        <v>ELIGIBLE</v>
      </c>
      <c r="N91" s="9" t="str" cm="1">
        <f t="array" ref="N91">_xlfn.IFS(I91&gt;=95%,"EXCELLENT",I91&gt;=85%,"VERY GOOD",I91&gt;=75%,"GOOD",I91&gt;=65%,"IMPROVEMENT",I91&gt;=40%,"POOR",I91&gt;=0%,"WORST")</f>
        <v>EXCELLENT</v>
      </c>
    </row>
    <row r="92" spans="1:14" ht="20.25" customHeight="1">
      <c r="A92" s="9" t="s">
        <v>194</v>
      </c>
      <c r="B92" s="9" t="s">
        <v>195</v>
      </c>
      <c r="C92" s="9" t="s">
        <v>21</v>
      </c>
      <c r="D92" s="9" t="s">
        <v>12</v>
      </c>
      <c r="E92" s="9">
        <v>56</v>
      </c>
      <c r="F92" s="9">
        <v>62</v>
      </c>
      <c r="G92" s="9">
        <v>58</v>
      </c>
      <c r="H92" s="9">
        <v>65</v>
      </c>
      <c r="I92" s="11">
        <v>0.77</v>
      </c>
      <c r="J92" s="9">
        <f t="shared" si="4"/>
        <v>241</v>
      </c>
      <c r="K92" s="11">
        <f t="shared" si="5"/>
        <v>0.60250000000000004</v>
      </c>
      <c r="L92" s="9" t="str">
        <f t="shared" si="6"/>
        <v>PASS</v>
      </c>
      <c r="M92" s="9" t="str">
        <f t="shared" si="7"/>
        <v>ELIGIBLE</v>
      </c>
      <c r="N92" s="9" t="str" cm="1">
        <f t="array" ref="N92">_xlfn.IFS(I92&gt;=95%,"EXCELLENT",I92&gt;=85%,"VERY GOOD",I92&gt;=75%,"GOOD",I92&gt;=65%,"IMPROVEMENT",I92&gt;=40%,"POOR",I92&gt;=0%,"WORST")</f>
        <v>GOOD</v>
      </c>
    </row>
    <row r="93" spans="1:14" ht="20.25" customHeight="1">
      <c r="A93" s="9" t="s">
        <v>196</v>
      </c>
      <c r="B93" s="9" t="s">
        <v>197</v>
      </c>
      <c r="C93" s="9" t="s">
        <v>18</v>
      </c>
      <c r="D93" s="9" t="s">
        <v>15</v>
      </c>
      <c r="E93" s="9">
        <v>82</v>
      </c>
      <c r="F93" s="9">
        <v>80</v>
      </c>
      <c r="G93" s="9">
        <v>85</v>
      </c>
      <c r="H93" s="9">
        <v>88</v>
      </c>
      <c r="I93" s="11">
        <v>0.94</v>
      </c>
      <c r="J93" s="9">
        <f t="shared" si="4"/>
        <v>335</v>
      </c>
      <c r="K93" s="11">
        <f t="shared" si="5"/>
        <v>0.83750000000000002</v>
      </c>
      <c r="L93" s="9" t="str">
        <f t="shared" si="6"/>
        <v>PASS</v>
      </c>
      <c r="M93" s="9" t="str">
        <f t="shared" si="7"/>
        <v>ELIGIBLE</v>
      </c>
      <c r="N93" s="9" t="str" cm="1">
        <f t="array" ref="N93">_xlfn.IFS(I93&gt;=95%,"EXCELLENT",I93&gt;=85%,"VERY GOOD",I93&gt;=75%,"GOOD",I93&gt;=65%,"IMPROVEMENT",I93&gt;=40%,"POOR",I93&gt;=0%,"WORST")</f>
        <v>VERY GOOD</v>
      </c>
    </row>
    <row r="94" spans="1:14" ht="20.25" customHeight="1">
      <c r="A94" s="9" t="s">
        <v>198</v>
      </c>
      <c r="B94" s="9" t="s">
        <v>199</v>
      </c>
      <c r="C94" s="9" t="s">
        <v>11</v>
      </c>
      <c r="D94" s="9" t="s">
        <v>12</v>
      </c>
      <c r="E94" s="9">
        <v>69</v>
      </c>
      <c r="F94" s="9">
        <v>73</v>
      </c>
      <c r="G94" s="9">
        <v>67</v>
      </c>
      <c r="H94" s="9">
        <v>76</v>
      </c>
      <c r="I94" s="11">
        <v>0.84</v>
      </c>
      <c r="J94" s="9">
        <f t="shared" si="4"/>
        <v>285</v>
      </c>
      <c r="K94" s="11">
        <f t="shared" si="5"/>
        <v>0.71250000000000002</v>
      </c>
      <c r="L94" s="9" t="str">
        <f t="shared" si="6"/>
        <v>PASS</v>
      </c>
      <c r="M94" s="9" t="str">
        <f t="shared" si="7"/>
        <v>ELIGIBLE</v>
      </c>
      <c r="N94" s="9" t="str" cm="1">
        <f t="array" ref="N94">_xlfn.IFS(I94&gt;=95%,"EXCELLENT",I94&gt;=85%,"VERY GOOD",I94&gt;=75%,"GOOD",I94&gt;=65%,"IMPROVEMENT",I94&gt;=40%,"POOR",I94&gt;=0%,"WORST")</f>
        <v>GOOD</v>
      </c>
    </row>
    <row r="95" spans="1:14" ht="20.25" customHeight="1">
      <c r="A95" s="9" t="s">
        <v>200</v>
      </c>
      <c r="B95" s="9" t="s">
        <v>201</v>
      </c>
      <c r="C95" s="9" t="s">
        <v>21</v>
      </c>
      <c r="D95" s="9" t="s">
        <v>15</v>
      </c>
      <c r="E95" s="9">
        <v>91</v>
      </c>
      <c r="F95" s="9">
        <v>89</v>
      </c>
      <c r="G95" s="9">
        <v>94</v>
      </c>
      <c r="H95" s="9">
        <v>96</v>
      </c>
      <c r="I95" s="11">
        <v>0.98</v>
      </c>
      <c r="J95" s="9">
        <f t="shared" si="4"/>
        <v>370</v>
      </c>
      <c r="K95" s="11">
        <f t="shared" si="5"/>
        <v>0.92500000000000004</v>
      </c>
      <c r="L95" s="9" t="str">
        <f t="shared" si="6"/>
        <v>PASS</v>
      </c>
      <c r="M95" s="9" t="str">
        <f t="shared" si="7"/>
        <v>ELIGIBLE</v>
      </c>
      <c r="N95" s="9" t="str" cm="1">
        <f t="array" ref="N95">_xlfn.IFS(I95&gt;=95%,"EXCELLENT",I95&gt;=85%,"VERY GOOD",I95&gt;=75%,"GOOD",I95&gt;=65%,"IMPROVEMENT",I95&gt;=40%,"POOR",I95&gt;=0%,"WORST")</f>
        <v>EXCELLENT</v>
      </c>
    </row>
    <row r="96" spans="1:14" ht="20.25" customHeight="1">
      <c r="A96" s="9" t="s">
        <v>202</v>
      </c>
      <c r="B96" s="9" t="s">
        <v>203</v>
      </c>
      <c r="C96" s="9" t="s">
        <v>18</v>
      </c>
      <c r="D96" s="9" t="s">
        <v>12</v>
      </c>
      <c r="E96" s="9">
        <v>37</v>
      </c>
      <c r="F96" s="9">
        <v>44</v>
      </c>
      <c r="G96" s="9">
        <v>41</v>
      </c>
      <c r="H96" s="9">
        <v>50</v>
      </c>
      <c r="I96" s="11">
        <v>0.67</v>
      </c>
      <c r="J96" s="9">
        <f t="shared" si="4"/>
        <v>172</v>
      </c>
      <c r="K96" s="11">
        <f t="shared" si="5"/>
        <v>0.43</v>
      </c>
      <c r="L96" s="9" t="str">
        <f t="shared" si="6"/>
        <v>FAIL</v>
      </c>
      <c r="M96" s="9" t="str">
        <f t="shared" si="7"/>
        <v>NOT ELIGIBLE</v>
      </c>
      <c r="N96" s="9" t="str" cm="1">
        <f t="array" ref="N96">_xlfn.IFS(I96&gt;=95%,"EXCELLENT",I96&gt;=85%,"VERY GOOD",I96&gt;=75%,"GOOD",I96&gt;=65%,"IMPROVEMENT",I96&gt;=40%,"POOR",I96&gt;=0%,"WORST")</f>
        <v>IMPROVEMENT</v>
      </c>
    </row>
    <row r="97" spans="1:14" ht="20.25" customHeight="1">
      <c r="A97" s="9" t="s">
        <v>204</v>
      </c>
      <c r="B97" s="9" t="s">
        <v>205</v>
      </c>
      <c r="C97" s="9" t="s">
        <v>11</v>
      </c>
      <c r="D97" s="9" t="s">
        <v>15</v>
      </c>
      <c r="E97" s="9">
        <v>76</v>
      </c>
      <c r="F97" s="9">
        <v>83</v>
      </c>
      <c r="G97" s="9">
        <v>78</v>
      </c>
      <c r="H97" s="9">
        <v>85</v>
      </c>
      <c r="I97" s="11">
        <v>0.91</v>
      </c>
      <c r="J97" s="9">
        <f t="shared" si="4"/>
        <v>322</v>
      </c>
      <c r="K97" s="11">
        <f t="shared" si="5"/>
        <v>0.80500000000000005</v>
      </c>
      <c r="L97" s="9" t="str">
        <f t="shared" si="6"/>
        <v>PASS</v>
      </c>
      <c r="M97" s="9" t="str">
        <f t="shared" si="7"/>
        <v>ELIGIBLE</v>
      </c>
      <c r="N97" s="9" t="str" cm="1">
        <f t="array" ref="N97">_xlfn.IFS(I97&gt;=95%,"EXCELLENT",I97&gt;=85%,"VERY GOOD",I97&gt;=75%,"GOOD",I97&gt;=65%,"IMPROVEMENT",I97&gt;=40%,"POOR",I97&gt;=0%,"WORST")</f>
        <v>VERY GOOD</v>
      </c>
    </row>
    <row r="98" spans="1:14" ht="20.25" customHeight="1">
      <c r="A98" s="9" t="s">
        <v>206</v>
      </c>
      <c r="B98" s="9" t="s">
        <v>207</v>
      </c>
      <c r="C98" s="9" t="s">
        <v>21</v>
      </c>
      <c r="D98" s="9" t="s">
        <v>12</v>
      </c>
      <c r="E98" s="9">
        <v>88</v>
      </c>
      <c r="F98" s="9">
        <v>86</v>
      </c>
      <c r="G98" s="9">
        <v>90</v>
      </c>
      <c r="H98" s="9">
        <v>92</v>
      </c>
      <c r="I98" s="11">
        <v>0.96</v>
      </c>
      <c r="J98" s="9">
        <f t="shared" si="4"/>
        <v>356</v>
      </c>
      <c r="K98" s="11">
        <f t="shared" si="5"/>
        <v>0.89</v>
      </c>
      <c r="L98" s="9" t="str">
        <f t="shared" si="6"/>
        <v>PASS</v>
      </c>
      <c r="M98" s="9" t="str">
        <f t="shared" si="7"/>
        <v>ELIGIBLE</v>
      </c>
      <c r="N98" s="9" t="str" cm="1">
        <f t="array" ref="N98">_xlfn.IFS(I98&gt;=95%,"EXCELLENT",I98&gt;=85%,"VERY GOOD",I98&gt;=75%,"GOOD",I98&gt;=65%,"IMPROVEMENT",I98&gt;=40%,"POOR",I98&gt;=0%,"WORST")</f>
        <v>EXCELLENT</v>
      </c>
    </row>
    <row r="99" spans="1:14" ht="20.25" customHeight="1">
      <c r="A99" s="9" t="s">
        <v>208</v>
      </c>
      <c r="B99" s="9" t="s">
        <v>209</v>
      </c>
      <c r="C99" s="9" t="s">
        <v>18</v>
      </c>
      <c r="D99" s="9" t="s">
        <v>15</v>
      </c>
      <c r="E99" s="9">
        <v>63</v>
      </c>
      <c r="F99" s="9">
        <v>70</v>
      </c>
      <c r="G99" s="9">
        <v>65</v>
      </c>
      <c r="H99" s="9">
        <v>73</v>
      </c>
      <c r="I99" s="11">
        <v>0.83</v>
      </c>
      <c r="J99" s="9">
        <f t="shared" si="4"/>
        <v>271</v>
      </c>
      <c r="K99" s="11">
        <f t="shared" si="5"/>
        <v>0.67749999999999999</v>
      </c>
      <c r="L99" s="9" t="str">
        <f t="shared" si="6"/>
        <v>PASS</v>
      </c>
      <c r="M99" s="9" t="str">
        <f t="shared" si="7"/>
        <v>ELIGIBLE</v>
      </c>
      <c r="N99" s="9" t="str" cm="1">
        <f t="array" ref="N99">_xlfn.IFS(I99&gt;=95%,"EXCELLENT",I99&gt;=85%,"VERY GOOD",I99&gt;=75%,"GOOD",I99&gt;=65%,"IMPROVEMENT",I99&gt;=40%,"POOR",I99&gt;=0%,"WORST")</f>
        <v>GOOD</v>
      </c>
    </row>
    <row r="100" spans="1:14" ht="20.25" customHeight="1">
      <c r="A100" s="9" t="s">
        <v>210</v>
      </c>
      <c r="B100" s="9" t="s">
        <v>211</v>
      </c>
      <c r="C100" s="9" t="s">
        <v>11</v>
      </c>
      <c r="D100" s="9" t="s">
        <v>12</v>
      </c>
      <c r="E100" s="9">
        <v>80</v>
      </c>
      <c r="F100" s="9">
        <v>78</v>
      </c>
      <c r="G100" s="9">
        <v>84</v>
      </c>
      <c r="H100" s="9">
        <v>87</v>
      </c>
      <c r="I100" s="11">
        <v>0.9</v>
      </c>
      <c r="J100" s="9">
        <f t="shared" si="4"/>
        <v>329</v>
      </c>
      <c r="K100" s="11">
        <f t="shared" si="5"/>
        <v>0.82250000000000001</v>
      </c>
      <c r="L100" s="9" t="str">
        <f t="shared" si="6"/>
        <v>PASS</v>
      </c>
      <c r="M100" s="9" t="str">
        <f t="shared" si="7"/>
        <v>ELIGIBLE</v>
      </c>
      <c r="N100" s="9" t="str" cm="1">
        <f t="array" ref="N100">_xlfn.IFS(I100&gt;=95%,"EXCELLENT",I100&gt;=85%,"VERY GOOD",I100&gt;=75%,"GOOD",I100&gt;=65%,"IMPROVEMENT",I100&gt;=40%,"POOR",I100&gt;=0%,"WORST")</f>
        <v>VERY GOOD</v>
      </c>
    </row>
    <row r="101" spans="1:14" ht="20.25" customHeight="1">
      <c r="A101" s="9" t="s">
        <v>212</v>
      </c>
      <c r="B101" s="9" t="s">
        <v>213</v>
      </c>
      <c r="C101" s="9" t="s">
        <v>21</v>
      </c>
      <c r="D101" s="9" t="s">
        <v>15</v>
      </c>
      <c r="E101" s="9">
        <v>94</v>
      </c>
      <c r="F101" s="9">
        <v>92</v>
      </c>
      <c r="G101" s="9">
        <v>96</v>
      </c>
      <c r="H101" s="9">
        <v>98</v>
      </c>
      <c r="I101" s="11">
        <v>0.99</v>
      </c>
      <c r="J101" s="9">
        <f t="shared" si="4"/>
        <v>380</v>
      </c>
      <c r="K101" s="11">
        <f t="shared" si="5"/>
        <v>0.95</v>
      </c>
      <c r="L101" s="9" t="str">
        <f t="shared" si="6"/>
        <v>PASS</v>
      </c>
      <c r="M101" s="9" t="str">
        <f t="shared" si="7"/>
        <v>ELIGIBLE</v>
      </c>
      <c r="N101" s="9" t="str" cm="1">
        <f t="array" ref="N101">_xlfn.IFS(I101&gt;=95%,"EXCELLENT",I101&gt;=85%,"VERY GOOD",I101&gt;=75%,"GOOD",I101&gt;=65%,"IMPROVEMENT",I101&gt;=40%,"POOR",I101&gt;=0%,"WORST")</f>
        <v>EXCELLENT</v>
      </c>
    </row>
  </sheetData>
  <conditionalFormatting sqref="K2:K101">
    <cfRule type="cellIs" dxfId="3" priority="7" operator="lessThanOrEqual">
      <formula>0.4</formula>
    </cfRule>
  </conditionalFormatting>
  <conditionalFormatting sqref="I2:I101">
    <cfRule type="cellIs" dxfId="2" priority="6" operator="lessThan">
      <formula>0.75</formula>
    </cfRule>
  </conditionalFormatting>
  <conditionalFormatting sqref="L2:L101">
    <cfRule type="containsText" dxfId="1" priority="5" operator="containsText" text="PASS">
      <formula>NOT(ISERROR(SEARCH("PASS",L2)))</formula>
    </cfRule>
  </conditionalFormatting>
  <conditionalFormatting sqref="L2:L101">
    <cfRule type="containsText" dxfId="0" priority="4" operator="containsText" text="FAIL">
      <formula>NOT(ISERROR(SEARCH("FAIL",L2)))</formula>
    </cfRule>
  </conditionalFormatting>
  <conditionalFormatting sqref="K2:K101">
    <cfRule type="colorScale" priority="3">
      <colorScale>
        <cfvo type="min"/>
        <cfvo type="max"/>
        <color rgb="FFFFEF9C"/>
        <color rgb="FF63BE7B"/>
      </colorScale>
    </cfRule>
  </conditionalFormatting>
  <conditionalFormatting sqref="K2:K10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101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D3603-5883-4BA7-A5DE-DE41A513483F}">
  <dimension ref="A1:N101"/>
  <sheetViews>
    <sheetView workbookViewId="0"/>
  </sheetViews>
  <sheetFormatPr defaultRowHeight="15"/>
  <cols>
    <col min="1" max="9" width="28.7109375" style="9" customWidth="1"/>
    <col min="10" max="14" width="28.7109375" style="10" customWidth="1"/>
  </cols>
  <sheetData>
    <row r="1" spans="1:14" ht="30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214</v>
      </c>
      <c r="K1" s="4" t="s">
        <v>216</v>
      </c>
      <c r="L1" s="4" t="s">
        <v>219</v>
      </c>
      <c r="M1" s="4" t="s">
        <v>220</v>
      </c>
      <c r="N1" s="4" t="s">
        <v>221</v>
      </c>
    </row>
    <row r="2" spans="1:14" ht="20.25" customHeight="1">
      <c r="A2" s="9" t="s">
        <v>180</v>
      </c>
      <c r="B2" s="9" t="s">
        <v>181</v>
      </c>
      <c r="C2" s="9" t="s">
        <v>11</v>
      </c>
      <c r="D2" s="9" t="s">
        <v>15</v>
      </c>
      <c r="E2" s="9">
        <v>96</v>
      </c>
      <c r="F2" s="9">
        <v>94</v>
      </c>
      <c r="G2" s="9">
        <v>97</v>
      </c>
      <c r="H2" s="9">
        <v>98</v>
      </c>
      <c r="I2" s="11">
        <v>1</v>
      </c>
      <c r="J2" s="9">
        <f>SUM(E2:H2)</f>
        <v>385</v>
      </c>
      <c r="K2" s="11">
        <f>J2/400</f>
        <v>0.96250000000000002</v>
      </c>
      <c r="L2" s="9" t="str">
        <f>IF(MIN(E2:H2)&gt;=40,"PASS","FAIL")</f>
        <v>PASS</v>
      </c>
      <c r="M2" s="9" t="str">
        <f>IF(I2&gt;=75%,"ELIGIBLE","NOT ELIGIBLE")</f>
        <v>ELIGIBLE</v>
      </c>
      <c r="N2" s="9" t="str" cm="1">
        <f t="array" ref="N2">_xlfn.IFS(I2&gt;=95%,"EXCELLENT",I2&gt;=85%,"VERY GOOD",I2&gt;=75%,"GOOD",I2&gt;=65%,"IMPROVEMENT",I2&gt;=40%,"POOR",I2&gt;=0%,"WORST")</f>
        <v>EXCELLENT</v>
      </c>
    </row>
    <row r="3" spans="1:14" ht="20.25" customHeight="1">
      <c r="A3" s="9" t="s">
        <v>84</v>
      </c>
      <c r="B3" s="9" t="s">
        <v>85</v>
      </c>
      <c r="C3" s="9" t="s">
        <v>11</v>
      </c>
      <c r="D3" s="9" t="s">
        <v>15</v>
      </c>
      <c r="E3" s="9">
        <v>97</v>
      </c>
      <c r="F3" s="9">
        <v>93</v>
      </c>
      <c r="G3" s="9">
        <v>95</v>
      </c>
      <c r="H3" s="9">
        <v>98</v>
      </c>
      <c r="I3" s="11">
        <v>1</v>
      </c>
      <c r="J3" s="9">
        <f>SUM(E3:H3)</f>
        <v>383</v>
      </c>
      <c r="K3" s="11">
        <f>J3/400</f>
        <v>0.95750000000000002</v>
      </c>
      <c r="L3" s="9" t="str">
        <f>IF(MIN(E3:H3)&gt;=40,"PASS","FAIL")</f>
        <v>PASS</v>
      </c>
      <c r="M3" s="9" t="str">
        <f>IF(I3&gt;=75%,"ELIGIBLE","NOT ELIGIBLE")</f>
        <v>ELIGIBLE</v>
      </c>
      <c r="N3" s="9" t="str" cm="1">
        <f t="array" ref="N3">_xlfn.IFS(I3&gt;=95%,"EXCELLENT",I3&gt;=85%,"VERY GOOD",I3&gt;=75%,"GOOD",I3&gt;=65%,"IMPROVEMENT",I3&gt;=40%,"POOR",I3&gt;=0%,"WORST")</f>
        <v>EXCELLENT</v>
      </c>
    </row>
    <row r="4" spans="1:14" ht="20.25" customHeight="1">
      <c r="A4" s="9" t="s">
        <v>212</v>
      </c>
      <c r="B4" s="9" t="s">
        <v>213</v>
      </c>
      <c r="C4" s="9" t="s">
        <v>21</v>
      </c>
      <c r="D4" s="9" t="s">
        <v>15</v>
      </c>
      <c r="E4" s="9">
        <v>94</v>
      </c>
      <c r="F4" s="9">
        <v>92</v>
      </c>
      <c r="G4" s="9">
        <v>96</v>
      </c>
      <c r="H4" s="9">
        <v>98</v>
      </c>
      <c r="I4" s="11">
        <v>0.99</v>
      </c>
      <c r="J4" s="9">
        <f>SUM(E4:H4)</f>
        <v>380</v>
      </c>
      <c r="K4" s="11">
        <f>J4/400</f>
        <v>0.95</v>
      </c>
      <c r="L4" s="9" t="str">
        <f>IF(MIN(E4:H4)&gt;=40,"PASS","FAIL")</f>
        <v>PASS</v>
      </c>
      <c r="M4" s="9" t="str">
        <f>IF(I4&gt;=75%,"ELIGIBLE","NOT ELIGIBLE")</f>
        <v>ELIGIBLE</v>
      </c>
      <c r="N4" s="9" t="str" cm="1">
        <f t="array" ref="N4">_xlfn.IFS(I4&gt;=95%,"EXCELLENT",I4&gt;=85%,"VERY GOOD",I4&gt;=75%,"GOOD",I4&gt;=65%,"IMPROVEMENT",I4&gt;=40%,"POOR",I4&gt;=0%,"WORST")</f>
        <v>EXCELLENT</v>
      </c>
    </row>
    <row r="5" spans="1:14" ht="20.25" customHeight="1">
      <c r="A5" s="9" t="s">
        <v>192</v>
      </c>
      <c r="B5" s="9" t="s">
        <v>193</v>
      </c>
      <c r="C5" s="9" t="s">
        <v>11</v>
      </c>
      <c r="D5" s="9" t="s">
        <v>15</v>
      </c>
      <c r="E5" s="9">
        <v>93</v>
      </c>
      <c r="F5" s="9">
        <v>95</v>
      </c>
      <c r="G5" s="9">
        <v>92</v>
      </c>
      <c r="H5" s="9">
        <v>97</v>
      </c>
      <c r="I5" s="11">
        <v>0.99</v>
      </c>
      <c r="J5" s="9">
        <f>SUM(E5:H5)</f>
        <v>377</v>
      </c>
      <c r="K5" s="11">
        <f>J5/400</f>
        <v>0.9425</v>
      </c>
      <c r="L5" s="9" t="str">
        <f>IF(MIN(E5:H5)&gt;=40,"PASS","FAIL")</f>
        <v>PASS</v>
      </c>
      <c r="M5" s="9" t="str">
        <f>IF(I5&gt;=75%,"ELIGIBLE","NOT ELIGIBLE")</f>
        <v>ELIGIBLE</v>
      </c>
      <c r="N5" s="9" t="str" cm="1">
        <f t="array" ref="N5">_xlfn.IFS(I5&gt;=95%,"EXCELLENT",I5&gt;=85%,"VERY GOOD",I5&gt;=75%,"GOOD",I5&gt;=65%,"IMPROVEMENT",I5&gt;=40%,"POOR",I5&gt;=0%,"WORST")</f>
        <v>EXCELLENT</v>
      </c>
    </row>
    <row r="6" spans="1:14" ht="20.25" customHeight="1">
      <c r="A6" s="9" t="s">
        <v>134</v>
      </c>
      <c r="B6" s="9" t="s">
        <v>135</v>
      </c>
      <c r="C6" s="9" t="s">
        <v>21</v>
      </c>
      <c r="D6" s="9" t="s">
        <v>12</v>
      </c>
      <c r="E6" s="9">
        <v>93</v>
      </c>
      <c r="F6" s="9">
        <v>90</v>
      </c>
      <c r="G6" s="9">
        <v>95</v>
      </c>
      <c r="H6" s="9">
        <v>97</v>
      </c>
      <c r="I6" s="11">
        <v>0.99</v>
      </c>
      <c r="J6" s="9">
        <f>SUM(E6:H6)</f>
        <v>375</v>
      </c>
      <c r="K6" s="11">
        <f>J6/400</f>
        <v>0.9375</v>
      </c>
      <c r="L6" s="9" t="str">
        <f>IF(MIN(E6:H6)&gt;=40,"PASS","FAIL")</f>
        <v>PASS</v>
      </c>
      <c r="M6" s="9" t="str">
        <f>IF(I6&gt;=75%,"ELIGIBLE","NOT ELIGIBLE")</f>
        <v>ELIGIBLE</v>
      </c>
      <c r="N6" s="9" t="str" cm="1">
        <f t="array" ref="N6">_xlfn.IFS(I6&gt;=95%,"EXCELLENT",I6&gt;=85%,"VERY GOOD",I6&gt;=75%,"GOOD",I6&gt;=65%,"IMPROVEMENT",I6&gt;=40%,"POOR",I6&gt;=0%,"WORST")</f>
        <v>EXCELLENT</v>
      </c>
    </row>
    <row r="7" spans="1:14" ht="20.25" customHeight="1">
      <c r="A7" s="9" t="s">
        <v>68</v>
      </c>
      <c r="B7" s="9" t="s">
        <v>69</v>
      </c>
      <c r="C7" s="9" t="s">
        <v>21</v>
      </c>
      <c r="D7" s="9" t="s">
        <v>15</v>
      </c>
      <c r="E7" s="9">
        <v>92</v>
      </c>
      <c r="F7" s="9">
        <v>95</v>
      </c>
      <c r="G7" s="9">
        <v>90</v>
      </c>
      <c r="H7" s="9">
        <v>97</v>
      </c>
      <c r="I7" s="11">
        <v>0.99</v>
      </c>
      <c r="J7" s="9">
        <f>SUM(E7:H7)</f>
        <v>374</v>
      </c>
      <c r="K7" s="11">
        <f>J7/400</f>
        <v>0.93500000000000005</v>
      </c>
      <c r="L7" s="9" t="str">
        <f>IF(MIN(E7:H7)&gt;=40,"PASS","FAIL")</f>
        <v>PASS</v>
      </c>
      <c r="M7" s="9" t="str">
        <f>IF(I7&gt;=75%,"ELIGIBLE","NOT ELIGIBLE")</f>
        <v>ELIGIBLE</v>
      </c>
      <c r="N7" s="9" t="str" cm="1">
        <f t="array" ref="N7">_xlfn.IFS(I7&gt;=95%,"EXCELLENT",I7&gt;=85%,"VERY GOOD",I7&gt;=75%,"GOOD",I7&gt;=65%,"IMPROVEMENT",I7&gt;=40%,"POOR",I7&gt;=0%,"WORST")</f>
        <v>EXCELLENT</v>
      </c>
    </row>
    <row r="8" spans="1:14" ht="20.25" customHeight="1">
      <c r="A8" s="9" t="s">
        <v>108</v>
      </c>
      <c r="B8" s="9" t="s">
        <v>109</v>
      </c>
      <c r="C8" s="9" t="s">
        <v>11</v>
      </c>
      <c r="D8" s="9" t="s">
        <v>15</v>
      </c>
      <c r="E8" s="9">
        <v>94</v>
      </c>
      <c r="F8" s="9">
        <v>96</v>
      </c>
      <c r="G8" s="9">
        <v>91</v>
      </c>
      <c r="H8" s="9">
        <v>93</v>
      </c>
      <c r="I8" s="11">
        <v>0.99</v>
      </c>
      <c r="J8" s="9">
        <f>SUM(E8:H8)</f>
        <v>374</v>
      </c>
      <c r="K8" s="11">
        <f>J8/400</f>
        <v>0.93500000000000005</v>
      </c>
      <c r="L8" s="9" t="str">
        <f>IF(MIN(E8:H8)&gt;=40,"PASS","FAIL")</f>
        <v>PASS</v>
      </c>
      <c r="M8" s="9" t="str">
        <f>IF(I8&gt;=75%,"ELIGIBLE","NOT ELIGIBLE")</f>
        <v>ELIGIBLE</v>
      </c>
      <c r="N8" s="9" t="str" cm="1">
        <f t="array" ref="N8">_xlfn.IFS(I8&gt;=95%,"EXCELLENT",I8&gt;=85%,"VERY GOOD",I8&gt;=75%,"GOOD",I8&gt;=65%,"IMPROVEMENT",I8&gt;=40%,"POOR",I8&gt;=0%,"WORST")</f>
        <v>EXCELLENT</v>
      </c>
    </row>
    <row r="9" spans="1:14" ht="20.25" customHeight="1">
      <c r="A9" s="9" t="s">
        <v>152</v>
      </c>
      <c r="B9" s="9" t="s">
        <v>153</v>
      </c>
      <c r="C9" s="9" t="s">
        <v>21</v>
      </c>
      <c r="D9" s="9" t="s">
        <v>15</v>
      </c>
      <c r="E9" s="9">
        <v>95</v>
      </c>
      <c r="F9" s="9">
        <v>89</v>
      </c>
      <c r="G9" s="9">
        <v>94</v>
      </c>
      <c r="H9" s="9">
        <v>96</v>
      </c>
      <c r="I9" s="11">
        <v>0.99</v>
      </c>
      <c r="J9" s="9">
        <f>SUM(E9:H9)</f>
        <v>374</v>
      </c>
      <c r="K9" s="11">
        <f>J9/400</f>
        <v>0.93500000000000005</v>
      </c>
      <c r="L9" s="9" t="str">
        <f>IF(MIN(E9:H9)&gt;=40,"PASS","FAIL")</f>
        <v>PASS</v>
      </c>
      <c r="M9" s="9" t="str">
        <f>IF(I9&gt;=75%,"ELIGIBLE","NOT ELIGIBLE")</f>
        <v>ELIGIBLE</v>
      </c>
      <c r="N9" s="9" t="str" cm="1">
        <f t="array" ref="N9">_xlfn.IFS(I9&gt;=95%,"EXCELLENT",I9&gt;=85%,"VERY GOOD",I9&gt;=75%,"GOOD",I9&gt;=65%,"IMPROVEMENT",I9&gt;=40%,"POOR",I9&gt;=0%,"WORST")</f>
        <v>EXCELLENT</v>
      </c>
    </row>
    <row r="10" spans="1:14" ht="20.25" customHeight="1">
      <c r="A10" s="9" t="s">
        <v>160</v>
      </c>
      <c r="B10" s="9" t="s">
        <v>161</v>
      </c>
      <c r="C10" s="9" t="s">
        <v>18</v>
      </c>
      <c r="D10" s="9" t="s">
        <v>15</v>
      </c>
      <c r="E10" s="9">
        <v>92</v>
      </c>
      <c r="F10" s="9">
        <v>96</v>
      </c>
      <c r="G10" s="9">
        <v>91</v>
      </c>
      <c r="H10" s="9">
        <v>95</v>
      </c>
      <c r="I10" s="11">
        <v>0.98</v>
      </c>
      <c r="J10" s="9">
        <f>SUM(E10:H10)</f>
        <v>374</v>
      </c>
      <c r="K10" s="11">
        <f>J10/400</f>
        <v>0.93500000000000005</v>
      </c>
      <c r="L10" s="9" t="str">
        <f>IF(MIN(E10:H10)&gt;=40,"PASS","FAIL")</f>
        <v>PASS</v>
      </c>
      <c r="M10" s="9" t="str">
        <f>IF(I10&gt;=75%,"ELIGIBLE","NOT ELIGIBLE")</f>
        <v>ELIGIBLE</v>
      </c>
      <c r="N10" s="9" t="str" cm="1">
        <f t="array" ref="N10">_xlfn.IFS(I10&gt;=95%,"EXCELLENT",I10&gt;=85%,"VERY GOOD",I10&gt;=75%,"GOOD",I10&gt;=65%,"IMPROVEMENT",I10&gt;=40%,"POOR",I10&gt;=0%,"WORST")</f>
        <v>EXCELLENT</v>
      </c>
    </row>
    <row r="11" spans="1:14" ht="20.25" customHeight="1">
      <c r="A11" s="9" t="s">
        <v>30</v>
      </c>
      <c r="B11" s="9" t="s">
        <v>31</v>
      </c>
      <c r="C11" s="9" t="s">
        <v>11</v>
      </c>
      <c r="D11" s="9" t="s">
        <v>12</v>
      </c>
      <c r="E11" s="9">
        <v>95</v>
      </c>
      <c r="F11" s="9">
        <v>92</v>
      </c>
      <c r="G11" s="9">
        <v>89</v>
      </c>
      <c r="H11" s="9">
        <v>97</v>
      </c>
      <c r="I11" s="11">
        <v>0.99</v>
      </c>
      <c r="J11" s="9">
        <f>SUM(E11:H11)</f>
        <v>373</v>
      </c>
      <c r="K11" s="11">
        <f>J11/400</f>
        <v>0.9325</v>
      </c>
      <c r="L11" s="9" t="str">
        <f>IF(MIN(E11:H11)&gt;=40,"PASS","FAIL")</f>
        <v>PASS</v>
      </c>
      <c r="M11" s="9" t="str">
        <f>IF(I11&gt;=75%,"ELIGIBLE","NOT ELIGIBLE")</f>
        <v>ELIGIBLE</v>
      </c>
      <c r="N11" s="9" t="str" cm="1">
        <f t="array" ref="N11">_xlfn.IFS(I11&gt;=95%,"EXCELLENT",I11&gt;=85%,"VERY GOOD",I11&gt;=75%,"GOOD",I11&gt;=65%,"IMPROVEMENT",I11&gt;=40%,"POOR",I11&gt;=0%,"WORST")</f>
        <v>EXCELLENT</v>
      </c>
    </row>
    <row r="12" spans="1:14" ht="20.25" customHeight="1">
      <c r="A12" s="9" t="s">
        <v>120</v>
      </c>
      <c r="B12" s="9" t="s">
        <v>121</v>
      </c>
      <c r="C12" s="9" t="s">
        <v>11</v>
      </c>
      <c r="D12" s="9" t="s">
        <v>15</v>
      </c>
      <c r="E12" s="9">
        <v>91</v>
      </c>
      <c r="F12" s="9">
        <v>94</v>
      </c>
      <c r="G12" s="9">
        <v>89</v>
      </c>
      <c r="H12" s="9">
        <v>96</v>
      </c>
      <c r="I12" s="11">
        <v>0.98</v>
      </c>
      <c r="J12" s="9">
        <f>SUM(E12:H12)</f>
        <v>370</v>
      </c>
      <c r="K12" s="11">
        <f>J12/400</f>
        <v>0.92500000000000004</v>
      </c>
      <c r="L12" s="9" t="str">
        <f>IF(MIN(E12:H12)&gt;=40,"PASS","FAIL")</f>
        <v>PASS</v>
      </c>
      <c r="M12" s="9" t="str">
        <f>IF(I12&gt;=75%,"ELIGIBLE","NOT ELIGIBLE")</f>
        <v>ELIGIBLE</v>
      </c>
      <c r="N12" s="9" t="str" cm="1">
        <f t="array" ref="N12">_xlfn.IFS(I12&gt;=95%,"EXCELLENT",I12&gt;=85%,"VERY GOOD",I12&gt;=75%,"GOOD",I12&gt;=65%,"IMPROVEMENT",I12&gt;=40%,"POOR",I12&gt;=0%,"WORST")</f>
        <v>EXCELLENT</v>
      </c>
    </row>
    <row r="13" spans="1:14" ht="20.25" customHeight="1">
      <c r="A13" s="9" t="s">
        <v>200</v>
      </c>
      <c r="B13" s="9" t="s">
        <v>201</v>
      </c>
      <c r="C13" s="9" t="s">
        <v>21</v>
      </c>
      <c r="D13" s="9" t="s">
        <v>15</v>
      </c>
      <c r="E13" s="9">
        <v>91</v>
      </c>
      <c r="F13" s="9">
        <v>89</v>
      </c>
      <c r="G13" s="9">
        <v>94</v>
      </c>
      <c r="H13" s="9">
        <v>96</v>
      </c>
      <c r="I13" s="11">
        <v>0.98</v>
      </c>
      <c r="J13" s="9">
        <f>SUM(E13:H13)</f>
        <v>370</v>
      </c>
      <c r="K13" s="11">
        <f>J13/400</f>
        <v>0.92500000000000004</v>
      </c>
      <c r="L13" s="9" t="str">
        <f>IF(MIN(E13:H13)&gt;=40,"PASS","FAIL")</f>
        <v>PASS</v>
      </c>
      <c r="M13" s="9" t="str">
        <f>IF(I13&gt;=75%,"ELIGIBLE","NOT ELIGIBLE")</f>
        <v>ELIGIBLE</v>
      </c>
      <c r="N13" s="9" t="str" cm="1">
        <f t="array" ref="N13">_xlfn.IFS(I13&gt;=95%,"EXCELLENT",I13&gt;=85%,"VERY GOOD",I13&gt;=75%,"GOOD",I13&gt;=65%,"IMPROVEMENT",I13&gt;=40%,"POOR",I13&gt;=0%,"WORST")</f>
        <v>EXCELLENT</v>
      </c>
    </row>
    <row r="14" spans="1:14" ht="20.25" customHeight="1">
      <c r="A14" s="9" t="s">
        <v>19</v>
      </c>
      <c r="B14" s="9" t="s">
        <v>20</v>
      </c>
      <c r="C14" s="9" t="s">
        <v>21</v>
      </c>
      <c r="D14" s="9" t="s">
        <v>15</v>
      </c>
      <c r="E14" s="9">
        <v>91</v>
      </c>
      <c r="F14" s="9">
        <v>88</v>
      </c>
      <c r="G14" s="9">
        <v>94</v>
      </c>
      <c r="H14" s="9">
        <v>96</v>
      </c>
      <c r="I14" s="11">
        <v>0.98</v>
      </c>
      <c r="J14" s="9">
        <f>SUM(E14:H14)</f>
        <v>369</v>
      </c>
      <c r="K14" s="11">
        <f>J14/400</f>
        <v>0.92249999999999999</v>
      </c>
      <c r="L14" s="9" t="str">
        <f>IF(MIN(E14:H14)&gt;=40,"PASS","FAIL")</f>
        <v>PASS</v>
      </c>
      <c r="M14" s="9" t="str">
        <f>IF(I14&gt;=75%,"ELIGIBLE","NOT ELIGIBLE")</f>
        <v>ELIGIBLE</v>
      </c>
      <c r="N14" s="9" t="str" cm="1">
        <f t="array" ref="N14">_xlfn.IFS(I14&gt;=95%,"EXCELLENT",I14&gt;=85%,"VERY GOOD",I14&gt;=75%,"GOOD",I14&gt;=65%,"IMPROVEMENT",I14&gt;=40%,"POOR",I14&gt;=0%,"WORST")</f>
        <v>EXCELLENT</v>
      </c>
    </row>
    <row r="15" spans="1:14" ht="20.25" customHeight="1">
      <c r="A15" s="9" t="s">
        <v>44</v>
      </c>
      <c r="B15" s="9" t="s">
        <v>45</v>
      </c>
      <c r="C15" s="9" t="s">
        <v>21</v>
      </c>
      <c r="D15" s="9" t="s">
        <v>15</v>
      </c>
      <c r="E15" s="9">
        <v>93</v>
      </c>
      <c r="F15" s="9">
        <v>89</v>
      </c>
      <c r="G15" s="9">
        <v>96</v>
      </c>
      <c r="H15" s="9">
        <v>91</v>
      </c>
      <c r="I15" s="11">
        <v>0.98</v>
      </c>
      <c r="J15" s="9">
        <f>SUM(E15:H15)</f>
        <v>369</v>
      </c>
      <c r="K15" s="11">
        <f>J15/400</f>
        <v>0.92249999999999999</v>
      </c>
      <c r="L15" s="9" t="str">
        <f>IF(MIN(E15:H15)&gt;=40,"PASS","FAIL")</f>
        <v>PASS</v>
      </c>
      <c r="M15" s="9" t="str">
        <f>IF(I15&gt;=75%,"ELIGIBLE","NOT ELIGIBLE")</f>
        <v>ELIGIBLE</v>
      </c>
      <c r="N15" s="9" t="str" cm="1">
        <f t="array" ref="N15">_xlfn.IFS(I15&gt;=95%,"EXCELLENT",I15&gt;=85%,"VERY GOOD",I15&gt;=75%,"GOOD",I15&gt;=65%,"IMPROVEMENT",I15&gt;=40%,"POOR",I15&gt;=0%,"WORST")</f>
        <v>EXCELLENT</v>
      </c>
    </row>
    <row r="16" spans="1:14" ht="20.25" customHeight="1">
      <c r="A16" s="9" t="s">
        <v>54</v>
      </c>
      <c r="B16" s="9" t="s">
        <v>55</v>
      </c>
      <c r="C16" s="9" t="s">
        <v>11</v>
      </c>
      <c r="D16" s="9" t="s">
        <v>12</v>
      </c>
      <c r="E16" s="9">
        <v>89</v>
      </c>
      <c r="F16" s="9">
        <v>94</v>
      </c>
      <c r="G16" s="9">
        <v>91</v>
      </c>
      <c r="H16" s="9">
        <v>93</v>
      </c>
      <c r="I16" s="11">
        <v>0.96</v>
      </c>
      <c r="J16" s="9">
        <f>SUM(E16:H16)</f>
        <v>367</v>
      </c>
      <c r="K16" s="11">
        <f>J16/400</f>
        <v>0.91749999999999998</v>
      </c>
      <c r="L16" s="9" t="str">
        <f>IF(MIN(E16:H16)&gt;=40,"PASS","FAIL")</f>
        <v>PASS</v>
      </c>
      <c r="M16" s="9" t="str">
        <f>IF(I16&gt;=75%,"ELIGIBLE","NOT ELIGIBLE")</f>
        <v>ELIGIBLE</v>
      </c>
      <c r="N16" s="9" t="str" cm="1">
        <f t="array" ref="N16">_xlfn.IFS(I16&gt;=95%,"EXCELLENT",I16&gt;=85%,"VERY GOOD",I16&gt;=75%,"GOOD",I16&gt;=65%,"IMPROVEMENT",I16&gt;=40%,"POOR",I16&gt;=0%,"WORST")</f>
        <v>EXCELLENT</v>
      </c>
    </row>
    <row r="17" spans="1:14" ht="20.25" customHeight="1">
      <c r="A17" s="9" t="s">
        <v>172</v>
      </c>
      <c r="B17" s="9" t="s">
        <v>173</v>
      </c>
      <c r="C17" s="9" t="s">
        <v>18</v>
      </c>
      <c r="D17" s="9" t="s">
        <v>15</v>
      </c>
      <c r="E17" s="9">
        <v>90</v>
      </c>
      <c r="F17" s="9">
        <v>87</v>
      </c>
      <c r="G17" s="9">
        <v>93</v>
      </c>
      <c r="H17" s="9">
        <v>96</v>
      </c>
      <c r="I17" s="11">
        <v>0.98</v>
      </c>
      <c r="J17" s="9">
        <f>SUM(E17:H17)</f>
        <v>366</v>
      </c>
      <c r="K17" s="11">
        <f>J17/400</f>
        <v>0.91500000000000004</v>
      </c>
      <c r="L17" s="9" t="str">
        <f>IF(MIN(E17:H17)&gt;=40,"PASS","FAIL")</f>
        <v>PASS</v>
      </c>
      <c r="M17" s="9" t="str">
        <f>IF(I17&gt;=75%,"ELIGIBLE","NOT ELIGIBLE")</f>
        <v>ELIGIBLE</v>
      </c>
      <c r="N17" s="9" t="str" cm="1">
        <f t="array" ref="N17">_xlfn.IFS(I17&gt;=95%,"EXCELLENT",I17&gt;=85%,"VERY GOOD",I17&gt;=75%,"GOOD",I17&gt;=65%,"IMPROVEMENT",I17&gt;=40%,"POOR",I17&gt;=0%,"WORST")</f>
        <v>EXCELLENT</v>
      </c>
    </row>
    <row r="18" spans="1:14" ht="20.25" customHeight="1">
      <c r="A18" s="9" t="s">
        <v>92</v>
      </c>
      <c r="B18" s="9" t="s">
        <v>93</v>
      </c>
      <c r="C18" s="9" t="s">
        <v>21</v>
      </c>
      <c r="D18" s="9" t="s">
        <v>15</v>
      </c>
      <c r="E18" s="9">
        <v>90</v>
      </c>
      <c r="F18" s="9">
        <v>86</v>
      </c>
      <c r="G18" s="9">
        <v>92</v>
      </c>
      <c r="H18" s="9">
        <v>95</v>
      </c>
      <c r="I18" s="11">
        <v>0.97</v>
      </c>
      <c r="J18" s="9">
        <f>SUM(E18:H18)</f>
        <v>363</v>
      </c>
      <c r="K18" s="11">
        <f>J18/400</f>
        <v>0.90749999999999997</v>
      </c>
      <c r="L18" s="9" t="str">
        <f>IF(MIN(E18:H18)&gt;=40,"PASS","FAIL")</f>
        <v>PASS</v>
      </c>
      <c r="M18" s="9" t="str">
        <f>IF(I18&gt;=75%,"ELIGIBLE","NOT ELIGIBLE")</f>
        <v>ELIGIBLE</v>
      </c>
      <c r="N18" s="9" t="str" cm="1">
        <f t="array" ref="N18">_xlfn.IFS(I18&gt;=95%,"EXCELLENT",I18&gt;=85%,"VERY GOOD",I18&gt;=75%,"GOOD",I18&gt;=65%,"IMPROVEMENT",I18&gt;=40%,"POOR",I18&gt;=0%,"WORST")</f>
        <v>EXCELLENT</v>
      </c>
    </row>
    <row r="19" spans="1:14" ht="20.25" customHeight="1">
      <c r="A19" s="9" t="s">
        <v>188</v>
      </c>
      <c r="B19" s="9" t="s">
        <v>189</v>
      </c>
      <c r="C19" s="9" t="s">
        <v>21</v>
      </c>
      <c r="D19" s="9" t="s">
        <v>15</v>
      </c>
      <c r="E19" s="9">
        <v>87</v>
      </c>
      <c r="F19" s="9">
        <v>91</v>
      </c>
      <c r="G19" s="9">
        <v>89</v>
      </c>
      <c r="H19" s="9">
        <v>94</v>
      </c>
      <c r="I19" s="11">
        <v>0.97</v>
      </c>
      <c r="J19" s="9">
        <f>SUM(E19:H19)</f>
        <v>361</v>
      </c>
      <c r="K19" s="11">
        <f>J19/400</f>
        <v>0.90249999999999997</v>
      </c>
      <c r="L19" s="9" t="str">
        <f>IF(MIN(E19:H19)&gt;=40,"PASS","FAIL")</f>
        <v>PASS</v>
      </c>
      <c r="M19" s="9" t="str">
        <f>IF(I19&gt;=75%,"ELIGIBLE","NOT ELIGIBLE")</f>
        <v>ELIGIBLE</v>
      </c>
      <c r="N19" s="9" t="str" cm="1">
        <f t="array" ref="N19">_xlfn.IFS(I19&gt;=95%,"EXCELLENT",I19&gt;=85%,"VERY GOOD",I19&gt;=75%,"GOOD",I19&gt;=65%,"IMPROVEMENT",I19&gt;=40%,"POOR",I19&gt;=0%,"WORST")</f>
        <v>EXCELLENT</v>
      </c>
    </row>
    <row r="20" spans="1:14" ht="20.25" customHeight="1">
      <c r="A20" s="9" t="s">
        <v>128</v>
      </c>
      <c r="B20" s="9" t="s">
        <v>129</v>
      </c>
      <c r="C20" s="9" t="s">
        <v>21</v>
      </c>
      <c r="D20" s="9" t="s">
        <v>15</v>
      </c>
      <c r="E20" s="9">
        <v>89</v>
      </c>
      <c r="F20" s="9">
        <v>85</v>
      </c>
      <c r="G20" s="9">
        <v>93</v>
      </c>
      <c r="H20" s="9">
        <v>92</v>
      </c>
      <c r="I20" s="11">
        <v>0.97</v>
      </c>
      <c r="J20" s="9">
        <f>SUM(E20:H20)</f>
        <v>359</v>
      </c>
      <c r="K20" s="11">
        <f>J20/400</f>
        <v>0.89749999999999996</v>
      </c>
      <c r="L20" s="9" t="str">
        <f>IF(MIN(E20:H20)&gt;=40,"PASS","FAIL")</f>
        <v>PASS</v>
      </c>
      <c r="M20" s="9" t="str">
        <f>IF(I20&gt;=75%,"ELIGIBLE","NOT ELIGIBLE")</f>
        <v>ELIGIBLE</v>
      </c>
      <c r="N20" s="9" t="str" cm="1">
        <f t="array" ref="N20">_xlfn.IFS(I20&gt;=95%,"EXCELLENT",I20&gt;=85%,"VERY GOOD",I20&gt;=75%,"GOOD",I20&gt;=65%,"IMPROVEMENT",I20&gt;=40%,"POOR",I20&gt;=0%,"WORST")</f>
        <v>EXCELLENT</v>
      </c>
    </row>
    <row r="21" spans="1:14" ht="20.25" customHeight="1">
      <c r="A21" s="9" t="s">
        <v>140</v>
      </c>
      <c r="B21" s="9" t="s">
        <v>141</v>
      </c>
      <c r="C21" s="9" t="s">
        <v>21</v>
      </c>
      <c r="D21" s="9" t="s">
        <v>15</v>
      </c>
      <c r="E21" s="9">
        <v>86</v>
      </c>
      <c r="F21" s="9">
        <v>91</v>
      </c>
      <c r="G21" s="9">
        <v>88</v>
      </c>
      <c r="H21" s="9">
        <v>94</v>
      </c>
      <c r="I21" s="11">
        <v>0.96</v>
      </c>
      <c r="J21" s="9">
        <f>SUM(E21:H21)</f>
        <v>359</v>
      </c>
      <c r="K21" s="11">
        <f>J21/400</f>
        <v>0.89749999999999996</v>
      </c>
      <c r="L21" s="9" t="str">
        <f>IF(MIN(E21:H21)&gt;=40,"PASS","FAIL")</f>
        <v>PASS</v>
      </c>
      <c r="M21" s="9" t="str">
        <f>IF(I21&gt;=75%,"ELIGIBLE","NOT ELIGIBLE")</f>
        <v>ELIGIBLE</v>
      </c>
      <c r="N21" s="9" t="str" cm="1">
        <f t="array" ref="N21">_xlfn.IFS(I21&gt;=95%,"EXCELLENT",I21&gt;=85%,"VERY GOOD",I21&gt;=75%,"GOOD",I21&gt;=65%,"IMPROVEMENT",I21&gt;=40%,"POOR",I21&gt;=0%,"WORST")</f>
        <v>EXCELLENT</v>
      </c>
    </row>
    <row r="22" spans="1:14" ht="20.25" customHeight="1">
      <c r="A22" s="9" t="s">
        <v>36</v>
      </c>
      <c r="B22" s="9" t="s">
        <v>37</v>
      </c>
      <c r="C22" s="9" t="s">
        <v>11</v>
      </c>
      <c r="D22" s="9" t="s">
        <v>15</v>
      </c>
      <c r="E22" s="9">
        <v>88</v>
      </c>
      <c r="F22" s="9">
        <v>91</v>
      </c>
      <c r="G22" s="9">
        <v>85</v>
      </c>
      <c r="H22" s="9">
        <v>94</v>
      </c>
      <c r="I22" s="11">
        <v>0.97</v>
      </c>
      <c r="J22" s="9">
        <f>SUM(E22:H22)</f>
        <v>358</v>
      </c>
      <c r="K22" s="11">
        <f>J22/400</f>
        <v>0.89500000000000002</v>
      </c>
      <c r="L22" s="9" t="str">
        <f>IF(MIN(E22:H22)&gt;=40,"PASS","FAIL")</f>
        <v>PASS</v>
      </c>
      <c r="M22" s="9" t="str">
        <f>IF(I22&gt;=75%,"ELIGIBLE","NOT ELIGIBLE")</f>
        <v>ELIGIBLE</v>
      </c>
      <c r="N22" s="9" t="str" cm="1">
        <f t="array" ref="N22">_xlfn.IFS(I22&gt;=95%,"EXCELLENT",I22&gt;=85%,"VERY GOOD",I22&gt;=75%,"GOOD",I22&gt;=65%,"IMPROVEMENT",I22&gt;=40%,"POOR",I22&gt;=0%,"WORST")</f>
        <v>EXCELLENT</v>
      </c>
    </row>
    <row r="23" spans="1:14" ht="20.25" customHeight="1">
      <c r="A23" s="9" t="s">
        <v>148</v>
      </c>
      <c r="B23" s="9" t="s">
        <v>149</v>
      </c>
      <c r="C23" s="9" t="s">
        <v>18</v>
      </c>
      <c r="D23" s="9" t="s">
        <v>15</v>
      </c>
      <c r="E23" s="9">
        <v>88</v>
      </c>
      <c r="F23" s="9">
        <v>92</v>
      </c>
      <c r="G23" s="9">
        <v>86</v>
      </c>
      <c r="H23" s="9">
        <v>90</v>
      </c>
      <c r="I23" s="11">
        <v>0.98</v>
      </c>
      <c r="J23" s="9">
        <f>SUM(E23:H23)</f>
        <v>356</v>
      </c>
      <c r="K23" s="11">
        <f>J23/400</f>
        <v>0.89</v>
      </c>
      <c r="L23" s="9" t="str">
        <f>IF(MIN(E23:H23)&gt;=40,"PASS","FAIL")</f>
        <v>PASS</v>
      </c>
      <c r="M23" s="9" t="str">
        <f>IF(I23&gt;=75%,"ELIGIBLE","NOT ELIGIBLE")</f>
        <v>ELIGIBLE</v>
      </c>
      <c r="N23" s="9" t="str" cm="1">
        <f t="array" ref="N23">_xlfn.IFS(I23&gt;=95%,"EXCELLENT",I23&gt;=85%,"VERY GOOD",I23&gt;=75%,"GOOD",I23&gt;=65%,"IMPROVEMENT",I23&gt;=40%,"POOR",I23&gt;=0%,"WORST")</f>
        <v>EXCELLENT</v>
      </c>
    </row>
    <row r="24" spans="1:14" ht="20.25" customHeight="1">
      <c r="A24" s="9" t="s">
        <v>206</v>
      </c>
      <c r="B24" s="9" t="s">
        <v>207</v>
      </c>
      <c r="C24" s="9" t="s">
        <v>21</v>
      </c>
      <c r="D24" s="9" t="s">
        <v>12</v>
      </c>
      <c r="E24" s="9">
        <v>88</v>
      </c>
      <c r="F24" s="9">
        <v>86</v>
      </c>
      <c r="G24" s="9">
        <v>90</v>
      </c>
      <c r="H24" s="9">
        <v>92</v>
      </c>
      <c r="I24" s="11">
        <v>0.96</v>
      </c>
      <c r="J24" s="9">
        <f>SUM(E24:H24)</f>
        <v>356</v>
      </c>
      <c r="K24" s="11">
        <f>J24/400</f>
        <v>0.89</v>
      </c>
      <c r="L24" s="9" t="str">
        <f>IF(MIN(E24:H24)&gt;=40,"PASS","FAIL")</f>
        <v>PASS</v>
      </c>
      <c r="M24" s="9" t="str">
        <f>IF(I24&gt;=75%,"ELIGIBLE","NOT ELIGIBLE")</f>
        <v>ELIGIBLE</v>
      </c>
      <c r="N24" s="9" t="str" cm="1">
        <f t="array" ref="N24">_xlfn.IFS(I24&gt;=95%,"EXCELLENT",I24&gt;=85%,"VERY GOOD",I24&gt;=75%,"GOOD",I24&gt;=65%,"IMPROVEMENT",I24&gt;=40%,"POOR",I24&gt;=0%,"WORST")</f>
        <v>EXCELLENT</v>
      </c>
    </row>
    <row r="25" spans="1:14" ht="20.25" customHeight="1">
      <c r="A25" s="9" t="s">
        <v>102</v>
      </c>
      <c r="B25" s="9" t="s">
        <v>103</v>
      </c>
      <c r="C25" s="9" t="s">
        <v>11</v>
      </c>
      <c r="D25" s="9" t="s">
        <v>12</v>
      </c>
      <c r="E25" s="9">
        <v>87</v>
      </c>
      <c r="F25" s="9">
        <v>90</v>
      </c>
      <c r="G25" s="9">
        <v>84</v>
      </c>
      <c r="H25" s="9">
        <v>91</v>
      </c>
      <c r="I25" s="11">
        <v>0.95</v>
      </c>
      <c r="J25" s="9">
        <f>SUM(E25:H25)</f>
        <v>352</v>
      </c>
      <c r="K25" s="11">
        <f>J25/400</f>
        <v>0.88</v>
      </c>
      <c r="L25" s="9" t="str">
        <f>IF(MIN(E25:H25)&gt;=40,"PASS","FAIL")</f>
        <v>PASS</v>
      </c>
      <c r="M25" s="9" t="str">
        <f>IF(I25&gt;=75%,"ELIGIBLE","NOT ELIGIBLE")</f>
        <v>ELIGIBLE</v>
      </c>
      <c r="N25" s="9" t="str" cm="1">
        <f t="array" ref="N25">_xlfn.IFS(I25&gt;=95%,"EXCELLENT",I25&gt;=85%,"VERY GOOD",I25&gt;=75%,"GOOD",I25&gt;=65%,"IMPROVEMENT",I25&gt;=40%,"POOR",I25&gt;=0%,"WORST")</f>
        <v>EXCELLENT</v>
      </c>
    </row>
    <row r="26" spans="1:14" ht="20.25" customHeight="1">
      <c r="A26" s="9" t="s">
        <v>166</v>
      </c>
      <c r="B26" s="9" t="s">
        <v>167</v>
      </c>
      <c r="C26" s="9" t="s">
        <v>18</v>
      </c>
      <c r="D26" s="9" t="s">
        <v>15</v>
      </c>
      <c r="E26" s="9">
        <v>85</v>
      </c>
      <c r="F26" s="9">
        <v>88</v>
      </c>
      <c r="G26" s="9">
        <v>82</v>
      </c>
      <c r="H26" s="9">
        <v>91</v>
      </c>
      <c r="I26" s="11">
        <v>0.95</v>
      </c>
      <c r="J26" s="9">
        <f>SUM(E26:H26)</f>
        <v>346</v>
      </c>
      <c r="K26" s="11">
        <f>J26/400</f>
        <v>0.86499999999999999</v>
      </c>
      <c r="L26" s="9" t="str">
        <f>IF(MIN(E26:H26)&gt;=40,"PASS","FAIL")</f>
        <v>PASS</v>
      </c>
      <c r="M26" s="9" t="str">
        <f>IF(I26&gt;=75%,"ELIGIBLE","NOT ELIGIBLE")</f>
        <v>ELIGIBLE</v>
      </c>
      <c r="N26" s="9" t="str" cm="1">
        <f t="array" ref="N26">_xlfn.IFS(I26&gt;=95%,"EXCELLENT",I26&gt;=85%,"VERY GOOD",I26&gt;=75%,"GOOD",I26&gt;=65%,"IMPROVEMENT",I26&gt;=40%,"POOR",I26&gt;=0%,"WORST")</f>
        <v>EXCELLENT</v>
      </c>
    </row>
    <row r="27" spans="1:14" ht="20.25" customHeight="1">
      <c r="A27" s="9" t="s">
        <v>64</v>
      </c>
      <c r="B27" s="9" t="s">
        <v>65</v>
      </c>
      <c r="C27" s="9" t="s">
        <v>18</v>
      </c>
      <c r="D27" s="9" t="s">
        <v>15</v>
      </c>
      <c r="E27" s="9">
        <v>86</v>
      </c>
      <c r="F27" s="9">
        <v>78</v>
      </c>
      <c r="G27" s="9">
        <v>89</v>
      </c>
      <c r="H27" s="9">
        <v>92</v>
      </c>
      <c r="I27" s="11">
        <v>0.95</v>
      </c>
      <c r="J27" s="9">
        <f>SUM(E27:H27)</f>
        <v>345</v>
      </c>
      <c r="K27" s="11">
        <f>J27/400</f>
        <v>0.86250000000000004</v>
      </c>
      <c r="L27" s="9" t="str">
        <f>IF(MIN(E27:H27)&gt;=40,"PASS","FAIL")</f>
        <v>PASS</v>
      </c>
      <c r="M27" s="9" t="str">
        <f>IF(I27&gt;=75%,"ELIGIBLE","NOT ELIGIBLE")</f>
        <v>ELIGIBLE</v>
      </c>
      <c r="N27" s="9" t="str" cm="1">
        <f t="array" ref="N27">_xlfn.IFS(I27&gt;=95%,"EXCELLENT",I27&gt;=85%,"VERY GOOD",I27&gt;=75%,"GOOD",I27&gt;=65%,"IMPROVEMENT",I27&gt;=40%,"POOR",I27&gt;=0%,"WORST")</f>
        <v>EXCELLENT</v>
      </c>
    </row>
    <row r="28" spans="1:14" ht="20.25" customHeight="1">
      <c r="A28" s="9" t="s">
        <v>76</v>
      </c>
      <c r="B28" s="9" t="s">
        <v>77</v>
      </c>
      <c r="C28" s="9" t="s">
        <v>18</v>
      </c>
      <c r="D28" s="9" t="s">
        <v>15</v>
      </c>
      <c r="E28" s="9">
        <v>85</v>
      </c>
      <c r="F28" s="9">
        <v>87</v>
      </c>
      <c r="G28" s="9">
        <v>83</v>
      </c>
      <c r="H28" s="9">
        <v>89</v>
      </c>
      <c r="I28" s="11">
        <v>0.96</v>
      </c>
      <c r="J28" s="9">
        <f>SUM(E28:H28)</f>
        <v>344</v>
      </c>
      <c r="K28" s="11">
        <f>J28/400</f>
        <v>0.86</v>
      </c>
      <c r="L28" s="9" t="str">
        <f>IF(MIN(E28:H28)&gt;=40,"PASS","FAIL")</f>
        <v>PASS</v>
      </c>
      <c r="M28" s="9" t="str">
        <f>IF(I28&gt;=75%,"ELIGIBLE","NOT ELIGIBLE")</f>
        <v>ELIGIBLE</v>
      </c>
      <c r="N28" s="9" t="str" cm="1">
        <f t="array" ref="N28">_xlfn.IFS(I28&gt;=95%,"EXCELLENT",I28&gt;=85%,"VERY GOOD",I28&gt;=75%,"GOOD",I28&gt;=65%,"IMPROVEMENT",I28&gt;=40%,"POOR",I28&gt;=0%,"WORST")</f>
        <v>EXCELLENT</v>
      </c>
    </row>
    <row r="29" spans="1:14" ht="20.25" customHeight="1">
      <c r="A29" s="9" t="s">
        <v>24</v>
      </c>
      <c r="B29" s="9" t="s">
        <v>25</v>
      </c>
      <c r="C29" s="9" t="s">
        <v>11</v>
      </c>
      <c r="D29" s="9" t="s">
        <v>15</v>
      </c>
      <c r="E29" s="9">
        <v>84</v>
      </c>
      <c r="F29" s="9">
        <v>79</v>
      </c>
      <c r="G29" s="9">
        <v>88</v>
      </c>
      <c r="H29" s="9">
        <v>91</v>
      </c>
      <c r="I29" s="11">
        <v>0.95</v>
      </c>
      <c r="J29" s="9">
        <f>SUM(E29:H29)</f>
        <v>342</v>
      </c>
      <c r="K29" s="11">
        <f>J29/400</f>
        <v>0.85499999999999998</v>
      </c>
      <c r="L29" s="9" t="str">
        <f>IF(MIN(E29:H29)&gt;=40,"PASS","FAIL")</f>
        <v>PASS</v>
      </c>
      <c r="M29" s="9" t="str">
        <f>IF(I29&gt;=75%,"ELIGIBLE","NOT ELIGIBLE")</f>
        <v>ELIGIBLE</v>
      </c>
      <c r="N29" s="9" t="str" cm="1">
        <f t="array" ref="N29">_xlfn.IFS(I29&gt;=95%,"EXCELLENT",I29&gt;=85%,"VERY GOOD",I29&gt;=75%,"GOOD",I29&gt;=65%,"IMPROVEMENT",I29&gt;=40%,"POOR",I29&gt;=0%,"WORST")</f>
        <v>EXCELLENT</v>
      </c>
    </row>
    <row r="30" spans="1:14" ht="20.25" customHeight="1">
      <c r="A30" s="9" t="s">
        <v>114</v>
      </c>
      <c r="B30" s="9" t="s">
        <v>115</v>
      </c>
      <c r="C30" s="9" t="s">
        <v>11</v>
      </c>
      <c r="D30" s="9" t="s">
        <v>12</v>
      </c>
      <c r="E30" s="9">
        <v>84</v>
      </c>
      <c r="F30" s="9">
        <v>89</v>
      </c>
      <c r="G30" s="9">
        <v>81</v>
      </c>
      <c r="H30" s="9">
        <v>86</v>
      </c>
      <c r="I30" s="11">
        <v>0.94</v>
      </c>
      <c r="J30" s="9">
        <f>SUM(E30:H30)</f>
        <v>340</v>
      </c>
      <c r="K30" s="11">
        <f>J30/400</f>
        <v>0.85</v>
      </c>
      <c r="L30" s="9" t="str">
        <f>IF(MIN(E30:H30)&gt;=40,"PASS","FAIL")</f>
        <v>PASS</v>
      </c>
      <c r="M30" s="9" t="str">
        <f>IF(I30&gt;=75%,"ELIGIBLE","NOT ELIGIBLE")</f>
        <v>ELIGIBLE</v>
      </c>
      <c r="N30" s="9" t="str" cm="1">
        <f t="array" ref="N30">_xlfn.IFS(I30&gt;=95%,"EXCELLENT",I30&gt;=85%,"VERY GOOD",I30&gt;=75%,"GOOD",I30&gt;=65%,"IMPROVEMENT",I30&gt;=40%,"POOR",I30&gt;=0%,"WORST")</f>
        <v>VERY GOOD</v>
      </c>
    </row>
    <row r="31" spans="1:14" ht="20.25" customHeight="1">
      <c r="A31" s="9" t="s">
        <v>156</v>
      </c>
      <c r="B31" s="9" t="s">
        <v>157</v>
      </c>
      <c r="C31" s="9" t="s">
        <v>11</v>
      </c>
      <c r="D31" s="9" t="s">
        <v>15</v>
      </c>
      <c r="E31" s="9">
        <v>81</v>
      </c>
      <c r="F31" s="9">
        <v>86</v>
      </c>
      <c r="G31" s="9">
        <v>83</v>
      </c>
      <c r="H31" s="9">
        <v>88</v>
      </c>
      <c r="I31" s="11">
        <v>0.94</v>
      </c>
      <c r="J31" s="9">
        <f>SUM(E31:H31)</f>
        <v>338</v>
      </c>
      <c r="K31" s="11">
        <f>J31/400</f>
        <v>0.84499999999999997</v>
      </c>
      <c r="L31" s="9" t="str">
        <f>IF(MIN(E31:H31)&gt;=40,"PASS","FAIL")</f>
        <v>PASS</v>
      </c>
      <c r="M31" s="9" t="str">
        <f>IF(I31&gt;=75%,"ELIGIBLE","NOT ELIGIBLE")</f>
        <v>ELIGIBLE</v>
      </c>
      <c r="N31" s="9" t="str" cm="1">
        <f t="array" ref="N31">_xlfn.IFS(I31&gt;=95%,"EXCELLENT",I31&gt;=85%,"VERY GOOD",I31&gt;=75%,"GOOD",I31&gt;=65%,"IMPROVEMENT",I31&gt;=40%,"POOR",I31&gt;=0%,"WORST")</f>
        <v>VERY GOOD</v>
      </c>
    </row>
    <row r="32" spans="1:14" ht="20.25" customHeight="1">
      <c r="A32" s="9" t="s">
        <v>176</v>
      </c>
      <c r="B32" s="9" t="s">
        <v>177</v>
      </c>
      <c r="C32" s="9" t="s">
        <v>21</v>
      </c>
      <c r="D32" s="9" t="s">
        <v>15</v>
      </c>
      <c r="E32" s="9">
        <v>83</v>
      </c>
      <c r="F32" s="9">
        <v>79</v>
      </c>
      <c r="G32" s="9">
        <v>87</v>
      </c>
      <c r="H32" s="9">
        <v>89</v>
      </c>
      <c r="I32" s="11">
        <v>0.93</v>
      </c>
      <c r="J32" s="9">
        <f>SUM(E32:H32)</f>
        <v>338</v>
      </c>
      <c r="K32" s="11">
        <f>J32/400</f>
        <v>0.84499999999999997</v>
      </c>
      <c r="L32" s="9" t="str">
        <f>IF(MIN(E32:H32)&gt;=40,"PASS","FAIL")</f>
        <v>PASS</v>
      </c>
      <c r="M32" s="9" t="str">
        <f>IF(I32&gt;=75%,"ELIGIBLE","NOT ELIGIBLE")</f>
        <v>ELIGIBLE</v>
      </c>
      <c r="N32" s="9" t="str" cm="1">
        <f t="array" ref="N32">_xlfn.IFS(I32&gt;=95%,"EXCELLENT",I32&gt;=85%,"VERY GOOD",I32&gt;=75%,"GOOD",I32&gt;=65%,"IMPROVEMENT",I32&gt;=40%,"POOR",I32&gt;=0%,"WORST")</f>
        <v>VERY GOOD</v>
      </c>
    </row>
    <row r="33" spans="1:14" ht="20.25" customHeight="1">
      <c r="A33" s="9" t="s">
        <v>96</v>
      </c>
      <c r="B33" s="9" t="s">
        <v>97</v>
      </c>
      <c r="C33" s="9" t="s">
        <v>11</v>
      </c>
      <c r="D33" s="9" t="s">
        <v>15</v>
      </c>
      <c r="E33" s="9">
        <v>83</v>
      </c>
      <c r="F33" s="9">
        <v>80</v>
      </c>
      <c r="G33" s="9">
        <v>86</v>
      </c>
      <c r="H33" s="9">
        <v>88</v>
      </c>
      <c r="I33" s="11">
        <v>0.92</v>
      </c>
      <c r="J33" s="9">
        <f>SUM(E33:H33)</f>
        <v>337</v>
      </c>
      <c r="K33" s="11">
        <f>J33/400</f>
        <v>0.84250000000000003</v>
      </c>
      <c r="L33" s="9" t="str">
        <f>IF(MIN(E33:H33)&gt;=40,"PASS","FAIL")</f>
        <v>PASS</v>
      </c>
      <c r="M33" s="9" t="str">
        <f>IF(I33&gt;=75%,"ELIGIBLE","NOT ELIGIBLE")</f>
        <v>ELIGIBLE</v>
      </c>
      <c r="N33" s="9" t="str" cm="1">
        <f t="array" ref="N33">_xlfn.IFS(I33&gt;=95%,"EXCELLENT",I33&gt;=85%,"VERY GOOD",I33&gt;=75%,"GOOD",I33&gt;=65%,"IMPROVEMENT",I33&gt;=40%,"POOR",I33&gt;=0%,"WORST")</f>
        <v>VERY GOOD</v>
      </c>
    </row>
    <row r="34" spans="1:14" ht="20.25" customHeight="1">
      <c r="A34" s="9" t="s">
        <v>34</v>
      </c>
      <c r="B34" s="9" t="s">
        <v>35</v>
      </c>
      <c r="C34" s="9" t="s">
        <v>18</v>
      </c>
      <c r="D34" s="9" t="s">
        <v>12</v>
      </c>
      <c r="E34" s="9">
        <v>82</v>
      </c>
      <c r="F34" s="9">
        <v>86</v>
      </c>
      <c r="G34" s="9">
        <v>79</v>
      </c>
      <c r="H34" s="9">
        <v>88</v>
      </c>
      <c r="I34" s="11">
        <v>0.93</v>
      </c>
      <c r="J34" s="9">
        <f>SUM(E34:H34)</f>
        <v>335</v>
      </c>
      <c r="K34" s="11">
        <f>J34/400</f>
        <v>0.83750000000000002</v>
      </c>
      <c r="L34" s="9" t="str">
        <f>IF(MIN(E34:H34)&gt;=40,"PASS","FAIL")</f>
        <v>PASS</v>
      </c>
      <c r="M34" s="9" t="str">
        <f>IF(I34&gt;=75%,"ELIGIBLE","NOT ELIGIBLE")</f>
        <v>ELIGIBLE</v>
      </c>
      <c r="N34" s="9" t="str" cm="1">
        <f t="array" ref="N34">_xlfn.IFS(I34&gt;=95%,"EXCELLENT",I34&gt;=85%,"VERY GOOD",I34&gt;=75%,"GOOD",I34&gt;=65%,"IMPROVEMENT",I34&gt;=40%,"POOR",I34&gt;=0%,"WORST")</f>
        <v>VERY GOOD</v>
      </c>
    </row>
    <row r="35" spans="1:14" ht="20.25" customHeight="1">
      <c r="A35" s="9" t="s">
        <v>124</v>
      </c>
      <c r="B35" s="9" t="s">
        <v>125</v>
      </c>
      <c r="C35" s="9" t="s">
        <v>18</v>
      </c>
      <c r="D35" s="9" t="s">
        <v>15</v>
      </c>
      <c r="E35" s="9">
        <v>82</v>
      </c>
      <c r="F35" s="9">
        <v>78</v>
      </c>
      <c r="G35" s="9">
        <v>85</v>
      </c>
      <c r="H35" s="9">
        <v>90</v>
      </c>
      <c r="I35" s="11">
        <v>0.93</v>
      </c>
      <c r="J35" s="9">
        <f>SUM(E35:H35)</f>
        <v>335</v>
      </c>
      <c r="K35" s="11">
        <f>J35/400</f>
        <v>0.83750000000000002</v>
      </c>
      <c r="L35" s="9" t="str">
        <f>IF(MIN(E35:H35)&gt;=40,"PASS","FAIL")</f>
        <v>PASS</v>
      </c>
      <c r="M35" s="9" t="str">
        <f>IF(I35&gt;=75%,"ELIGIBLE","NOT ELIGIBLE")</f>
        <v>ELIGIBLE</v>
      </c>
      <c r="N35" s="9" t="str" cm="1">
        <f t="array" ref="N35">_xlfn.IFS(I35&gt;=95%,"EXCELLENT",I35&gt;=85%,"VERY GOOD",I35&gt;=75%,"GOOD",I35&gt;=65%,"IMPROVEMENT",I35&gt;=40%,"POOR",I35&gt;=0%,"WORST")</f>
        <v>VERY GOOD</v>
      </c>
    </row>
    <row r="36" spans="1:14" ht="20.25" customHeight="1">
      <c r="A36" s="9" t="s">
        <v>196</v>
      </c>
      <c r="B36" s="9" t="s">
        <v>197</v>
      </c>
      <c r="C36" s="9" t="s">
        <v>18</v>
      </c>
      <c r="D36" s="9" t="s">
        <v>15</v>
      </c>
      <c r="E36" s="9">
        <v>82</v>
      </c>
      <c r="F36" s="9">
        <v>80</v>
      </c>
      <c r="G36" s="9">
        <v>85</v>
      </c>
      <c r="H36" s="9">
        <v>88</v>
      </c>
      <c r="I36" s="11">
        <v>0.94</v>
      </c>
      <c r="J36" s="9">
        <f>SUM(E36:H36)</f>
        <v>335</v>
      </c>
      <c r="K36" s="11">
        <f>J36/400</f>
        <v>0.83750000000000002</v>
      </c>
      <c r="L36" s="9" t="str">
        <f>IF(MIN(E36:H36)&gt;=40,"PASS","FAIL")</f>
        <v>PASS</v>
      </c>
      <c r="M36" s="9" t="str">
        <f>IF(I36&gt;=75%,"ELIGIBLE","NOT ELIGIBLE")</f>
        <v>ELIGIBLE</v>
      </c>
      <c r="N36" s="9" t="str" cm="1">
        <f t="array" ref="N36">_xlfn.IFS(I36&gt;=95%,"EXCELLENT",I36&gt;=85%,"VERY GOOD",I36&gt;=75%,"GOOD",I36&gt;=65%,"IMPROVEMENT",I36&gt;=40%,"POOR",I36&gt;=0%,"WORST")</f>
        <v>VERY GOOD</v>
      </c>
    </row>
    <row r="37" spans="1:14" ht="20.25" customHeight="1">
      <c r="A37" s="9" t="s">
        <v>184</v>
      </c>
      <c r="B37" s="9" t="s">
        <v>185</v>
      </c>
      <c r="C37" s="9" t="s">
        <v>18</v>
      </c>
      <c r="D37" s="9" t="s">
        <v>15</v>
      </c>
      <c r="E37" s="9">
        <v>79</v>
      </c>
      <c r="F37" s="9">
        <v>85</v>
      </c>
      <c r="G37" s="9">
        <v>82</v>
      </c>
      <c r="H37" s="9">
        <v>86</v>
      </c>
      <c r="I37" s="11">
        <v>0.92</v>
      </c>
      <c r="J37" s="9">
        <f>SUM(E37:H37)</f>
        <v>332</v>
      </c>
      <c r="K37" s="11">
        <f>J37/400</f>
        <v>0.83</v>
      </c>
      <c r="L37" s="9" t="str">
        <f>IF(MIN(E37:H37)&gt;=40,"PASS","FAIL")</f>
        <v>PASS</v>
      </c>
      <c r="M37" s="9" t="str">
        <f>IF(I37&gt;=75%,"ELIGIBLE","NOT ELIGIBLE")</f>
        <v>ELIGIBLE</v>
      </c>
      <c r="N37" s="9" t="str" cm="1">
        <f t="array" ref="N37">_xlfn.IFS(I37&gt;=95%,"EXCELLENT",I37&gt;=85%,"VERY GOOD",I37&gt;=75%,"GOOD",I37&gt;=65%,"IMPROVEMENT",I37&gt;=40%,"POOR",I37&gt;=0%,"WORST")</f>
        <v>VERY GOOD</v>
      </c>
    </row>
    <row r="38" spans="1:14" ht="20.25" customHeight="1">
      <c r="A38" s="9" t="s">
        <v>144</v>
      </c>
      <c r="B38" s="9" t="s">
        <v>145</v>
      </c>
      <c r="C38" s="9" t="s">
        <v>11</v>
      </c>
      <c r="D38" s="9" t="s">
        <v>15</v>
      </c>
      <c r="E38" s="9">
        <v>79</v>
      </c>
      <c r="F38" s="9">
        <v>84</v>
      </c>
      <c r="G38" s="9">
        <v>81</v>
      </c>
      <c r="H38" s="9">
        <v>87</v>
      </c>
      <c r="I38" s="11">
        <v>0.92</v>
      </c>
      <c r="J38" s="9">
        <f>SUM(E38:H38)</f>
        <v>331</v>
      </c>
      <c r="K38" s="11">
        <f>J38/400</f>
        <v>0.82750000000000001</v>
      </c>
      <c r="L38" s="9" t="str">
        <f>IF(MIN(E38:H38)&gt;=40,"PASS","FAIL")</f>
        <v>PASS</v>
      </c>
      <c r="M38" s="9" t="str">
        <f>IF(I38&gt;=75%,"ELIGIBLE","NOT ELIGIBLE")</f>
        <v>ELIGIBLE</v>
      </c>
      <c r="N38" s="9" t="str" cm="1">
        <f t="array" ref="N38">_xlfn.IFS(I38&gt;=95%,"EXCELLENT",I38&gt;=85%,"VERY GOOD",I38&gt;=75%,"GOOD",I38&gt;=65%,"IMPROVEMENT",I38&gt;=40%,"POOR",I38&gt;=0%,"WORST")</f>
        <v>VERY GOOD</v>
      </c>
    </row>
    <row r="39" spans="1:14" ht="20.25" customHeight="1">
      <c r="A39" s="9" t="s">
        <v>88</v>
      </c>
      <c r="B39" s="9" t="s">
        <v>89</v>
      </c>
      <c r="C39" s="9" t="s">
        <v>18</v>
      </c>
      <c r="D39" s="9" t="s">
        <v>15</v>
      </c>
      <c r="E39" s="9">
        <v>80</v>
      </c>
      <c r="F39" s="9">
        <v>84</v>
      </c>
      <c r="G39" s="9">
        <v>78</v>
      </c>
      <c r="H39" s="9">
        <v>87</v>
      </c>
      <c r="I39" s="11">
        <v>0.93</v>
      </c>
      <c r="J39" s="9">
        <f>SUM(E39:H39)</f>
        <v>329</v>
      </c>
      <c r="K39" s="11">
        <f>J39/400</f>
        <v>0.82250000000000001</v>
      </c>
      <c r="L39" s="9" t="str">
        <f>IF(MIN(E39:H39)&gt;=40,"PASS","FAIL")</f>
        <v>PASS</v>
      </c>
      <c r="M39" s="9" t="str">
        <f>IF(I39&gt;=75%,"ELIGIBLE","NOT ELIGIBLE")</f>
        <v>ELIGIBLE</v>
      </c>
      <c r="N39" s="9" t="str" cm="1">
        <f t="array" ref="N39">_xlfn.IFS(I39&gt;=95%,"EXCELLENT",I39&gt;=85%,"VERY GOOD",I39&gt;=75%,"GOOD",I39&gt;=65%,"IMPROVEMENT",I39&gt;=40%,"POOR",I39&gt;=0%,"WORST")</f>
        <v>VERY GOOD</v>
      </c>
    </row>
    <row r="40" spans="1:14" ht="20.25" customHeight="1">
      <c r="A40" s="9" t="s">
        <v>210</v>
      </c>
      <c r="B40" s="9" t="s">
        <v>211</v>
      </c>
      <c r="C40" s="9" t="s">
        <v>11</v>
      </c>
      <c r="D40" s="9" t="s">
        <v>12</v>
      </c>
      <c r="E40" s="9">
        <v>80</v>
      </c>
      <c r="F40" s="9">
        <v>78</v>
      </c>
      <c r="G40" s="9">
        <v>84</v>
      </c>
      <c r="H40" s="9">
        <v>87</v>
      </c>
      <c r="I40" s="11">
        <v>0.9</v>
      </c>
      <c r="J40" s="9">
        <f>SUM(E40:H40)</f>
        <v>329</v>
      </c>
      <c r="K40" s="11">
        <f>J40/400</f>
        <v>0.82250000000000001</v>
      </c>
      <c r="L40" s="9" t="str">
        <f>IF(MIN(E40:H40)&gt;=40,"PASS","FAIL")</f>
        <v>PASS</v>
      </c>
      <c r="M40" s="9" t="str">
        <f>IF(I40&gt;=75%,"ELIGIBLE","NOT ELIGIBLE")</f>
        <v>ELIGIBLE</v>
      </c>
      <c r="N40" s="9" t="str" cm="1">
        <f t="array" ref="N40">_xlfn.IFS(I40&gt;=95%,"EXCELLENT",I40&gt;=85%,"VERY GOOD",I40&gt;=75%,"GOOD",I40&gt;=65%,"IMPROVEMENT",I40&gt;=40%,"POOR",I40&gt;=0%,"WORST")</f>
        <v>VERY GOOD</v>
      </c>
    </row>
    <row r="41" spans="1:14" ht="20.25" customHeight="1">
      <c r="A41" s="9" t="s">
        <v>48</v>
      </c>
      <c r="B41" s="9" t="s">
        <v>49</v>
      </c>
      <c r="C41" s="9" t="s">
        <v>11</v>
      </c>
      <c r="D41" s="9" t="s">
        <v>15</v>
      </c>
      <c r="E41" s="9">
        <v>81</v>
      </c>
      <c r="F41" s="9">
        <v>77</v>
      </c>
      <c r="G41" s="9">
        <v>84</v>
      </c>
      <c r="H41" s="9">
        <v>86</v>
      </c>
      <c r="I41" s="11">
        <v>0.91</v>
      </c>
      <c r="J41" s="9">
        <f>SUM(E41:H41)</f>
        <v>328</v>
      </c>
      <c r="K41" s="11">
        <f>J41/400</f>
        <v>0.82</v>
      </c>
      <c r="L41" s="9" t="str">
        <f>IF(MIN(E41:H41)&gt;=40,"PASS","FAIL")</f>
        <v>PASS</v>
      </c>
      <c r="M41" s="9" t="str">
        <f>IF(I41&gt;=75%,"ELIGIBLE","NOT ELIGIBLE")</f>
        <v>ELIGIBLE</v>
      </c>
      <c r="N41" s="9" t="str" cm="1">
        <f t="array" ref="N41">_xlfn.IFS(I41&gt;=95%,"EXCELLENT",I41&gt;=85%,"VERY GOOD",I41&gt;=75%,"GOOD",I41&gt;=65%,"IMPROVEMENT",I41&gt;=40%,"POOR",I41&gt;=0%,"WORST")</f>
        <v>VERY GOOD</v>
      </c>
    </row>
    <row r="42" spans="1:14" ht="20.25" customHeight="1">
      <c r="A42" s="9" t="s">
        <v>9</v>
      </c>
      <c r="B42" s="9" t="s">
        <v>10</v>
      </c>
      <c r="C42" s="9" t="s">
        <v>11</v>
      </c>
      <c r="D42" s="9" t="s">
        <v>12</v>
      </c>
      <c r="E42" s="9">
        <v>78</v>
      </c>
      <c r="F42" s="9">
        <v>85</v>
      </c>
      <c r="G42" s="9">
        <v>72</v>
      </c>
      <c r="H42" s="9">
        <v>90</v>
      </c>
      <c r="I42" s="11">
        <v>0.92</v>
      </c>
      <c r="J42" s="9">
        <f>SUM(E42:H42)</f>
        <v>325</v>
      </c>
      <c r="K42" s="11">
        <f>J42/400</f>
        <v>0.8125</v>
      </c>
      <c r="L42" s="9" t="str">
        <f>IF(MIN(E42:H42)&gt;=40,"PASS","FAIL")</f>
        <v>PASS</v>
      </c>
      <c r="M42" s="9" t="str">
        <f>IF(I42&gt;=75%,"ELIGIBLE","NOT ELIGIBLE")</f>
        <v>ELIGIBLE</v>
      </c>
      <c r="N42" s="9" t="str" cm="1">
        <f t="array" ref="N42">_xlfn.IFS(I42&gt;=95%,"EXCELLENT",I42&gt;=85%,"VERY GOOD",I42&gt;=75%,"GOOD",I42&gt;=65%,"IMPROVEMENT",I42&gt;=40%,"POOR",I42&gt;=0%,"WORST")</f>
        <v>VERY GOOD</v>
      </c>
    </row>
    <row r="43" spans="1:14" ht="20.25" customHeight="1">
      <c r="A43" s="9" t="s">
        <v>60</v>
      </c>
      <c r="B43" s="9" t="s">
        <v>61</v>
      </c>
      <c r="C43" s="9" t="s">
        <v>11</v>
      </c>
      <c r="D43" s="9" t="s">
        <v>15</v>
      </c>
      <c r="E43" s="9">
        <v>77</v>
      </c>
      <c r="F43" s="9">
        <v>83</v>
      </c>
      <c r="G43" s="9">
        <v>80</v>
      </c>
      <c r="H43" s="9">
        <v>85</v>
      </c>
      <c r="I43" s="11">
        <v>0.94</v>
      </c>
      <c r="J43" s="9">
        <f>SUM(E43:H43)</f>
        <v>325</v>
      </c>
      <c r="K43" s="11">
        <f>J43/400</f>
        <v>0.8125</v>
      </c>
      <c r="L43" s="9" t="str">
        <f>IF(MIN(E43:H43)&gt;=40,"PASS","FAIL")</f>
        <v>PASS</v>
      </c>
      <c r="M43" s="9" t="str">
        <f>IF(I43&gt;=75%,"ELIGIBLE","NOT ELIGIBLE")</f>
        <v>ELIGIBLE</v>
      </c>
      <c r="N43" s="9" t="str" cm="1">
        <f t="array" ref="N43">_xlfn.IFS(I43&gt;=95%,"EXCELLENT",I43&gt;=85%,"VERY GOOD",I43&gt;=75%,"GOOD",I43&gt;=65%,"IMPROVEMENT",I43&gt;=40%,"POOR",I43&gt;=0%,"WORST")</f>
        <v>VERY GOOD</v>
      </c>
    </row>
    <row r="44" spans="1:14" ht="20.25" customHeight="1">
      <c r="A44" s="9" t="s">
        <v>74</v>
      </c>
      <c r="B44" s="9" t="s">
        <v>75</v>
      </c>
      <c r="C44" s="9" t="s">
        <v>21</v>
      </c>
      <c r="D44" s="9" t="s">
        <v>12</v>
      </c>
      <c r="E44" s="9">
        <v>79</v>
      </c>
      <c r="F44" s="9">
        <v>82</v>
      </c>
      <c r="G44" s="9">
        <v>77</v>
      </c>
      <c r="H44" s="9">
        <v>84</v>
      </c>
      <c r="I44" s="11">
        <v>0.91</v>
      </c>
      <c r="J44" s="9">
        <f>SUM(E44:H44)</f>
        <v>322</v>
      </c>
      <c r="K44" s="11">
        <f>J44/400</f>
        <v>0.80500000000000005</v>
      </c>
      <c r="L44" s="9" t="str">
        <f>IF(MIN(E44:H44)&gt;=40,"PASS","FAIL")</f>
        <v>PASS</v>
      </c>
      <c r="M44" s="9" t="str">
        <f>IF(I44&gt;=75%,"ELIGIBLE","NOT ELIGIBLE")</f>
        <v>ELIGIBLE</v>
      </c>
      <c r="N44" s="9" t="str" cm="1">
        <f t="array" ref="N44">_xlfn.IFS(I44&gt;=95%,"EXCELLENT",I44&gt;=85%,"VERY GOOD",I44&gt;=75%,"GOOD",I44&gt;=65%,"IMPROVEMENT",I44&gt;=40%,"POOR",I44&gt;=0%,"WORST")</f>
        <v>VERY GOOD</v>
      </c>
    </row>
    <row r="45" spans="1:14" ht="20.25" customHeight="1">
      <c r="A45" s="9" t="s">
        <v>204</v>
      </c>
      <c r="B45" s="9" t="s">
        <v>205</v>
      </c>
      <c r="C45" s="9" t="s">
        <v>11</v>
      </c>
      <c r="D45" s="9" t="s">
        <v>15</v>
      </c>
      <c r="E45" s="9">
        <v>76</v>
      </c>
      <c r="F45" s="9">
        <v>83</v>
      </c>
      <c r="G45" s="9">
        <v>78</v>
      </c>
      <c r="H45" s="9">
        <v>85</v>
      </c>
      <c r="I45" s="11">
        <v>0.91</v>
      </c>
      <c r="J45" s="9">
        <f>SUM(E45:H45)</f>
        <v>322</v>
      </c>
      <c r="K45" s="11">
        <f>J45/400</f>
        <v>0.80500000000000005</v>
      </c>
      <c r="L45" s="9" t="str">
        <f>IF(MIN(E45:H45)&gt;=40,"PASS","FAIL")</f>
        <v>PASS</v>
      </c>
      <c r="M45" s="9" t="str">
        <f>IF(I45&gt;=75%,"ELIGIBLE","NOT ELIGIBLE")</f>
        <v>ELIGIBLE</v>
      </c>
      <c r="N45" s="9" t="str" cm="1">
        <f t="array" ref="N45">_xlfn.IFS(I45&gt;=95%,"EXCELLENT",I45&gt;=85%,"VERY GOOD",I45&gt;=75%,"GOOD",I45&gt;=65%,"IMPROVEMENT",I45&gt;=40%,"POOR",I45&gt;=0%,"WORST")</f>
        <v>VERY GOOD</v>
      </c>
    </row>
    <row r="46" spans="1:14" ht="20.25" customHeight="1">
      <c r="A46" s="9" t="s">
        <v>132</v>
      </c>
      <c r="B46" s="9" t="s">
        <v>133</v>
      </c>
      <c r="C46" s="9" t="s">
        <v>11</v>
      </c>
      <c r="D46" s="9" t="s">
        <v>15</v>
      </c>
      <c r="E46" s="9">
        <v>76</v>
      </c>
      <c r="F46" s="9">
        <v>82</v>
      </c>
      <c r="G46" s="9">
        <v>79</v>
      </c>
      <c r="H46" s="9">
        <v>84</v>
      </c>
      <c r="I46" s="11">
        <v>0.91</v>
      </c>
      <c r="J46" s="9">
        <f>SUM(E46:H46)</f>
        <v>321</v>
      </c>
      <c r="K46" s="11">
        <f>J46/400</f>
        <v>0.80249999999999999</v>
      </c>
      <c r="L46" s="9" t="str">
        <f>IF(MIN(E46:H46)&gt;=40,"PASS","FAIL")</f>
        <v>PASS</v>
      </c>
      <c r="M46" s="9" t="str">
        <f>IF(I46&gt;=75%,"ELIGIBLE","NOT ELIGIBLE")</f>
        <v>ELIGIBLE</v>
      </c>
      <c r="N46" s="9" t="str" cm="1">
        <f t="array" ref="N46">_xlfn.IFS(I46&gt;=95%,"EXCELLENT",I46&gt;=85%,"VERY GOOD",I46&gt;=75%,"GOOD",I46&gt;=65%,"IMPROVEMENT",I46&gt;=40%,"POOR",I46&gt;=0%,"WORST")</f>
        <v>VERY GOOD</v>
      </c>
    </row>
    <row r="47" spans="1:14" ht="20.25" customHeight="1">
      <c r="A47" s="9" t="s">
        <v>112</v>
      </c>
      <c r="B47" s="9" t="s">
        <v>113</v>
      </c>
      <c r="C47" s="9" t="s">
        <v>18</v>
      </c>
      <c r="D47" s="9" t="s">
        <v>15</v>
      </c>
      <c r="E47" s="9">
        <v>78</v>
      </c>
      <c r="F47" s="9">
        <v>74</v>
      </c>
      <c r="G47" s="9">
        <v>82</v>
      </c>
      <c r="H47" s="9">
        <v>85</v>
      </c>
      <c r="I47" s="11">
        <v>0.9</v>
      </c>
      <c r="J47" s="9">
        <f>SUM(E47:H47)</f>
        <v>319</v>
      </c>
      <c r="K47" s="11">
        <f>J47/400</f>
        <v>0.79749999999999999</v>
      </c>
      <c r="L47" s="9" t="str">
        <f>IF(MIN(E47:H47)&gt;=40,"PASS","FAIL")</f>
        <v>PASS</v>
      </c>
      <c r="M47" s="9" t="str">
        <f>IF(I47&gt;=75%,"ELIGIBLE","NOT ELIGIBLE")</f>
        <v>ELIGIBLE</v>
      </c>
      <c r="N47" s="9" t="str" cm="1">
        <f t="array" ref="N47">_xlfn.IFS(I47&gt;=95%,"EXCELLENT",I47&gt;=85%,"VERY GOOD",I47&gt;=75%,"GOOD",I47&gt;=65%,"IMPROVEMENT",I47&gt;=40%,"POOR",I47&gt;=0%,"WORST")</f>
        <v>VERY GOOD</v>
      </c>
    </row>
    <row r="48" spans="1:14" ht="20.25" customHeight="1">
      <c r="A48" s="9" t="s">
        <v>164</v>
      </c>
      <c r="B48" s="9" t="s">
        <v>165</v>
      </c>
      <c r="C48" s="9" t="s">
        <v>21</v>
      </c>
      <c r="D48" s="9" t="s">
        <v>12</v>
      </c>
      <c r="E48" s="9">
        <v>77</v>
      </c>
      <c r="F48" s="9">
        <v>81</v>
      </c>
      <c r="G48" s="9">
        <v>75</v>
      </c>
      <c r="H48" s="9">
        <v>84</v>
      </c>
      <c r="I48" s="11">
        <v>0.9</v>
      </c>
      <c r="J48" s="9">
        <f>SUM(E48:H48)</f>
        <v>317</v>
      </c>
      <c r="K48" s="11">
        <f>J48/400</f>
        <v>0.79249999999999998</v>
      </c>
      <c r="L48" s="9" t="str">
        <f>IF(MIN(E48:H48)&gt;=40,"PASS","FAIL")</f>
        <v>PASS</v>
      </c>
      <c r="M48" s="9" t="str">
        <f>IF(I48&gt;=75%,"ELIGIBLE","NOT ELIGIBLE")</f>
        <v>ELIGIBLE</v>
      </c>
      <c r="N48" s="9" t="str" cm="1">
        <f t="array" ref="N48">_xlfn.IFS(I48&gt;=95%,"EXCELLENT",I48&gt;=85%,"VERY GOOD",I48&gt;=75%,"GOOD",I48&gt;=65%,"IMPROVEMENT",I48&gt;=40%,"POOR",I48&gt;=0%,"WORST")</f>
        <v>VERY GOOD</v>
      </c>
    </row>
    <row r="49" spans="1:14" ht="20.25" customHeight="1">
      <c r="A49" s="9" t="s">
        <v>80</v>
      </c>
      <c r="B49" s="9" t="s">
        <v>81</v>
      </c>
      <c r="C49" s="9" t="s">
        <v>21</v>
      </c>
      <c r="D49" s="9" t="s">
        <v>15</v>
      </c>
      <c r="E49" s="9">
        <v>74</v>
      </c>
      <c r="F49" s="9">
        <v>79</v>
      </c>
      <c r="G49" s="9">
        <v>76</v>
      </c>
      <c r="H49" s="9">
        <v>81</v>
      </c>
      <c r="I49" s="11">
        <v>0.89</v>
      </c>
      <c r="J49" s="9">
        <f>SUM(E49:H49)</f>
        <v>310</v>
      </c>
      <c r="K49" s="11">
        <f>J49/400</f>
        <v>0.77500000000000002</v>
      </c>
      <c r="L49" s="9" t="str">
        <f>IF(MIN(E49:H49)&gt;=40,"PASS","FAIL")</f>
        <v>PASS</v>
      </c>
      <c r="M49" s="9" t="str">
        <f>IF(I49&gt;=75%,"ELIGIBLE","NOT ELIGIBLE")</f>
        <v>ELIGIBLE</v>
      </c>
      <c r="N49" s="9" t="str" cm="1">
        <f t="array" ref="N49">_xlfn.IFS(I49&gt;=95%,"EXCELLENT",I49&gt;=85%,"VERY GOOD",I49&gt;=75%,"GOOD",I49&gt;=65%,"IMPROVEMENT",I49&gt;=40%,"POOR",I49&gt;=0%,"WORST")</f>
        <v>VERY GOOD</v>
      </c>
    </row>
    <row r="50" spans="1:14" ht="20.25" customHeight="1">
      <c r="A50" s="9" t="s">
        <v>40</v>
      </c>
      <c r="B50" s="9" t="s">
        <v>41</v>
      </c>
      <c r="C50" s="9" t="s">
        <v>18</v>
      </c>
      <c r="D50" s="9" t="s">
        <v>15</v>
      </c>
      <c r="E50" s="9">
        <v>76</v>
      </c>
      <c r="F50" s="9">
        <v>81</v>
      </c>
      <c r="G50" s="9">
        <v>73</v>
      </c>
      <c r="H50" s="9">
        <v>79</v>
      </c>
      <c r="I50" s="11">
        <v>0.9</v>
      </c>
      <c r="J50" s="9">
        <f>SUM(E50:H50)</f>
        <v>309</v>
      </c>
      <c r="K50" s="11">
        <f>J50/400</f>
        <v>0.77249999999999996</v>
      </c>
      <c r="L50" s="9" t="str">
        <f>IF(MIN(E50:H50)&gt;=40,"PASS","FAIL")</f>
        <v>PASS</v>
      </c>
      <c r="M50" s="9" t="str">
        <f>IF(I50&gt;=75%,"ELIGIBLE","NOT ELIGIBLE")</f>
        <v>ELIGIBLE</v>
      </c>
      <c r="N50" s="9" t="str" cm="1">
        <f t="array" ref="N50">_xlfn.IFS(I50&gt;=95%,"EXCELLENT",I50&gt;=85%,"VERY GOOD",I50&gt;=75%,"GOOD",I50&gt;=65%,"IMPROVEMENT",I50&gt;=40%,"POOR",I50&gt;=0%,"WORST")</f>
        <v>VERY GOOD</v>
      </c>
    </row>
    <row r="51" spans="1:14" ht="20.25" customHeight="1">
      <c r="A51" s="9" t="s">
        <v>100</v>
      </c>
      <c r="B51" s="9" t="s">
        <v>101</v>
      </c>
      <c r="C51" s="9" t="s">
        <v>18</v>
      </c>
      <c r="D51" s="9" t="s">
        <v>15</v>
      </c>
      <c r="E51" s="9">
        <v>75</v>
      </c>
      <c r="F51" s="9">
        <v>71</v>
      </c>
      <c r="G51" s="9">
        <v>79</v>
      </c>
      <c r="H51" s="9">
        <v>83</v>
      </c>
      <c r="I51" s="11">
        <v>0.88</v>
      </c>
      <c r="J51" s="9">
        <f>SUM(E51:H51)</f>
        <v>308</v>
      </c>
      <c r="K51" s="11">
        <f>J51/400</f>
        <v>0.77</v>
      </c>
      <c r="L51" s="9" t="str">
        <f>IF(MIN(E51:H51)&gt;=40,"PASS","FAIL")</f>
        <v>PASS</v>
      </c>
      <c r="M51" s="9" t="str">
        <f>IF(I51&gt;=75%,"ELIGIBLE","NOT ELIGIBLE")</f>
        <v>ELIGIBLE</v>
      </c>
      <c r="N51" s="9" t="str" cm="1">
        <f t="array" ref="N51">_xlfn.IFS(I51&gt;=95%,"EXCELLENT",I51&gt;=85%,"VERY GOOD",I51&gt;=75%,"GOOD",I51&gt;=65%,"IMPROVEMENT",I51&gt;=40%,"POOR",I51&gt;=0%,"WORST")</f>
        <v>VERY GOOD</v>
      </c>
    </row>
    <row r="52" spans="1:14" ht="20.25" customHeight="1">
      <c r="A52" s="9" t="s">
        <v>158</v>
      </c>
      <c r="B52" s="9" t="s">
        <v>159</v>
      </c>
      <c r="C52" s="9" t="s">
        <v>21</v>
      </c>
      <c r="D52" s="9" t="s">
        <v>12</v>
      </c>
      <c r="E52" s="9">
        <v>74</v>
      </c>
      <c r="F52" s="9">
        <v>69</v>
      </c>
      <c r="G52" s="9">
        <v>77</v>
      </c>
      <c r="H52" s="9">
        <v>82</v>
      </c>
      <c r="I52" s="11">
        <v>0.89</v>
      </c>
      <c r="J52" s="9">
        <f>SUM(E52:H52)</f>
        <v>302</v>
      </c>
      <c r="K52" s="11">
        <f>J52/400</f>
        <v>0.755</v>
      </c>
      <c r="L52" s="9" t="str">
        <f>IF(MIN(E52:H52)&gt;=40,"PASS","FAIL")</f>
        <v>PASS</v>
      </c>
      <c r="M52" s="9" t="str">
        <f>IF(I52&gt;=75%,"ELIGIBLE","NOT ELIGIBLE")</f>
        <v>ELIGIBLE</v>
      </c>
      <c r="N52" s="9" t="str" cm="1">
        <f t="array" ref="N52">_xlfn.IFS(I52&gt;=95%,"EXCELLENT",I52&gt;=85%,"VERY GOOD",I52&gt;=75%,"GOOD",I52&gt;=65%,"IMPROVEMENT",I52&gt;=40%,"POOR",I52&gt;=0%,"WORST")</f>
        <v>VERY GOOD</v>
      </c>
    </row>
    <row r="53" spans="1:14" ht="20.25" customHeight="1">
      <c r="A53" s="9" t="s">
        <v>182</v>
      </c>
      <c r="B53" s="9" t="s">
        <v>183</v>
      </c>
      <c r="C53" s="9" t="s">
        <v>21</v>
      </c>
      <c r="D53" s="9" t="s">
        <v>12</v>
      </c>
      <c r="E53" s="9">
        <v>72</v>
      </c>
      <c r="F53" s="9">
        <v>77</v>
      </c>
      <c r="G53" s="9">
        <v>70</v>
      </c>
      <c r="H53" s="9">
        <v>81</v>
      </c>
      <c r="I53" s="11">
        <v>0.88</v>
      </c>
      <c r="J53" s="9">
        <f>SUM(E53:H53)</f>
        <v>300</v>
      </c>
      <c r="K53" s="11">
        <f>J53/400</f>
        <v>0.75</v>
      </c>
      <c r="L53" s="9" t="str">
        <f>IF(MIN(E53:H53)&gt;=40,"PASS","FAIL")</f>
        <v>PASS</v>
      </c>
      <c r="M53" s="9" t="str">
        <f>IF(I53&gt;=75%,"ELIGIBLE","NOT ELIGIBLE")</f>
        <v>ELIGIBLE</v>
      </c>
      <c r="N53" s="9" t="str" cm="1">
        <f t="array" ref="N53">_xlfn.IFS(I53&gt;=95%,"EXCELLENT",I53&gt;=85%,"VERY GOOD",I53&gt;=75%,"GOOD",I53&gt;=65%,"IMPROVEMENT",I53&gt;=40%,"POOR",I53&gt;=0%,"WORST")</f>
        <v>VERY GOOD</v>
      </c>
    </row>
    <row r="54" spans="1:14" ht="20.25" customHeight="1">
      <c r="A54" s="9" t="s">
        <v>28</v>
      </c>
      <c r="B54" s="9" t="s">
        <v>29</v>
      </c>
      <c r="C54" s="9" t="s">
        <v>18</v>
      </c>
      <c r="D54" s="9" t="s">
        <v>15</v>
      </c>
      <c r="E54" s="9">
        <v>73</v>
      </c>
      <c r="F54" s="9">
        <v>68</v>
      </c>
      <c r="G54" s="9">
        <v>76</v>
      </c>
      <c r="H54" s="9">
        <v>82</v>
      </c>
      <c r="I54" s="11">
        <v>0.89</v>
      </c>
      <c r="J54" s="9">
        <f>SUM(E54:H54)</f>
        <v>299</v>
      </c>
      <c r="K54" s="11">
        <f>J54/400</f>
        <v>0.74750000000000005</v>
      </c>
      <c r="L54" s="9" t="str">
        <f>IF(MIN(E54:H54)&gt;=40,"PASS","FAIL")</f>
        <v>PASS</v>
      </c>
      <c r="M54" s="9" t="str">
        <f>IF(I54&gt;=75%,"ELIGIBLE","NOT ELIGIBLE")</f>
        <v>ELIGIBLE</v>
      </c>
      <c r="N54" s="9" t="str" cm="1">
        <f t="array" ref="N54">_xlfn.IFS(I54&gt;=95%,"EXCELLENT",I54&gt;=85%,"VERY GOOD",I54&gt;=75%,"GOOD",I54&gt;=65%,"IMPROVEMENT",I54&gt;=40%,"POOR",I54&gt;=0%,"WORST")</f>
        <v>VERY GOOD</v>
      </c>
    </row>
    <row r="55" spans="1:14" ht="20.25" customHeight="1">
      <c r="A55" s="9" t="s">
        <v>168</v>
      </c>
      <c r="B55" s="9" t="s">
        <v>169</v>
      </c>
      <c r="C55" s="9" t="s">
        <v>11</v>
      </c>
      <c r="D55" s="9" t="s">
        <v>15</v>
      </c>
      <c r="E55" s="9">
        <v>70</v>
      </c>
      <c r="F55" s="9">
        <v>76</v>
      </c>
      <c r="G55" s="9">
        <v>73</v>
      </c>
      <c r="H55" s="9">
        <v>79</v>
      </c>
      <c r="I55" s="11">
        <v>0.86</v>
      </c>
      <c r="J55" s="9">
        <f>SUM(E55:H55)</f>
        <v>298</v>
      </c>
      <c r="K55" s="11">
        <f>J55/400</f>
        <v>0.745</v>
      </c>
      <c r="L55" s="9" t="str">
        <f>IF(MIN(E55:H55)&gt;=40,"PASS","FAIL")</f>
        <v>PASS</v>
      </c>
      <c r="M55" s="9" t="str">
        <f>IF(I55&gt;=75%,"ELIGIBLE","NOT ELIGIBLE")</f>
        <v>ELIGIBLE</v>
      </c>
      <c r="N55" s="9" t="str" cm="1">
        <f t="array" ref="N55">_xlfn.IFS(I55&gt;=95%,"EXCELLENT",I55&gt;=85%,"VERY GOOD",I55&gt;=75%,"GOOD",I55&gt;=65%,"IMPROVEMENT",I55&gt;=40%,"POOR",I55&gt;=0%,"WORST")</f>
        <v>VERY GOOD</v>
      </c>
    </row>
    <row r="56" spans="1:14" ht="20.25" customHeight="1">
      <c r="A56" s="9" t="s">
        <v>118</v>
      </c>
      <c r="B56" s="9" t="s">
        <v>119</v>
      </c>
      <c r="C56" s="9" t="s">
        <v>18</v>
      </c>
      <c r="D56" s="9" t="s">
        <v>12</v>
      </c>
      <c r="E56" s="9">
        <v>73</v>
      </c>
      <c r="F56" s="9">
        <v>70</v>
      </c>
      <c r="G56" s="9">
        <v>75</v>
      </c>
      <c r="H56" s="9">
        <v>79</v>
      </c>
      <c r="I56" s="11">
        <v>0.87</v>
      </c>
      <c r="J56" s="9">
        <f>SUM(E56:H56)</f>
        <v>297</v>
      </c>
      <c r="K56" s="11">
        <f>J56/400</f>
        <v>0.74250000000000005</v>
      </c>
      <c r="L56" s="9" t="str">
        <f>IF(MIN(E56:H56)&gt;=40,"PASS","FAIL")</f>
        <v>PASS</v>
      </c>
      <c r="M56" s="9" t="str">
        <f>IF(I56&gt;=75%,"ELIGIBLE","NOT ELIGIBLE")</f>
        <v>ELIGIBLE</v>
      </c>
      <c r="N56" s="9" t="str" cm="1">
        <f t="array" ref="N56">_xlfn.IFS(I56&gt;=95%,"EXCELLENT",I56&gt;=85%,"VERY GOOD",I56&gt;=75%,"GOOD",I56&gt;=65%,"IMPROVEMENT",I56&gt;=40%,"POOR",I56&gt;=0%,"WORST")</f>
        <v>VERY GOOD</v>
      </c>
    </row>
    <row r="57" spans="1:14" ht="20.25" customHeight="1">
      <c r="A57" s="9" t="s">
        <v>52</v>
      </c>
      <c r="B57" s="9" t="s">
        <v>53</v>
      </c>
      <c r="C57" s="9" t="s">
        <v>18</v>
      </c>
      <c r="D57" s="9" t="s">
        <v>15</v>
      </c>
      <c r="E57" s="9">
        <v>72</v>
      </c>
      <c r="F57" s="9">
        <v>75</v>
      </c>
      <c r="G57" s="9">
        <v>70</v>
      </c>
      <c r="H57" s="9">
        <v>78</v>
      </c>
      <c r="I57" s="11">
        <v>0.88</v>
      </c>
      <c r="J57" s="9">
        <f>SUM(E57:H57)</f>
        <v>295</v>
      </c>
      <c r="K57" s="11">
        <f>J57/400</f>
        <v>0.73750000000000004</v>
      </c>
      <c r="L57" s="9" t="str">
        <f>IF(MIN(E57:H57)&gt;=40,"PASS","FAIL")</f>
        <v>PASS</v>
      </c>
      <c r="M57" s="9" t="str">
        <f>IF(I57&gt;=75%,"ELIGIBLE","NOT ELIGIBLE")</f>
        <v>ELIGIBLE</v>
      </c>
      <c r="N57" s="9" t="str" cm="1">
        <f t="array" ref="N57">_xlfn.IFS(I57&gt;=95%,"EXCELLENT",I57&gt;=85%,"VERY GOOD",I57&gt;=75%,"GOOD",I57&gt;=65%,"IMPROVEMENT",I57&gt;=40%,"POOR",I57&gt;=0%,"WORST")</f>
        <v>VERY GOOD</v>
      </c>
    </row>
    <row r="58" spans="1:14" ht="20.25" customHeight="1">
      <c r="A58" s="9" t="s">
        <v>104</v>
      </c>
      <c r="B58" s="9" t="s">
        <v>105</v>
      </c>
      <c r="C58" s="9" t="s">
        <v>21</v>
      </c>
      <c r="D58" s="9" t="s">
        <v>15</v>
      </c>
      <c r="E58" s="9">
        <v>69</v>
      </c>
      <c r="F58" s="9">
        <v>76</v>
      </c>
      <c r="G58" s="9">
        <v>72</v>
      </c>
      <c r="H58" s="9">
        <v>78</v>
      </c>
      <c r="I58" s="11">
        <v>0.86</v>
      </c>
      <c r="J58" s="9">
        <f>SUM(E58:H58)</f>
        <v>295</v>
      </c>
      <c r="K58" s="11">
        <f>J58/400</f>
        <v>0.73750000000000004</v>
      </c>
      <c r="L58" s="9" t="str">
        <f>IF(MIN(E58:H58)&gt;=40,"PASS","FAIL")</f>
        <v>PASS</v>
      </c>
      <c r="M58" s="9" t="str">
        <f>IF(I58&gt;=75%,"ELIGIBLE","NOT ELIGIBLE")</f>
        <v>ELIGIBLE</v>
      </c>
      <c r="N58" s="9" t="str" cm="1">
        <f t="array" ref="N58">_xlfn.IFS(I58&gt;=95%,"EXCELLENT",I58&gt;=85%,"VERY GOOD",I58&gt;=75%,"GOOD",I58&gt;=65%,"IMPROVEMENT",I58&gt;=40%,"POOR",I58&gt;=0%,"WORST")</f>
        <v>VERY GOOD</v>
      </c>
    </row>
    <row r="59" spans="1:14" ht="20.25" customHeight="1">
      <c r="A59" s="9" t="s">
        <v>66</v>
      </c>
      <c r="B59" s="9" t="s">
        <v>67</v>
      </c>
      <c r="C59" s="9" t="s">
        <v>11</v>
      </c>
      <c r="D59" s="9" t="s">
        <v>12</v>
      </c>
      <c r="E59" s="9">
        <v>71</v>
      </c>
      <c r="F59" s="9">
        <v>66</v>
      </c>
      <c r="G59" s="9">
        <v>74</v>
      </c>
      <c r="H59" s="9">
        <v>80</v>
      </c>
      <c r="I59" s="11">
        <v>0.86</v>
      </c>
      <c r="J59" s="9">
        <f>SUM(E59:H59)</f>
        <v>291</v>
      </c>
      <c r="K59" s="11">
        <f>J59/400</f>
        <v>0.72750000000000004</v>
      </c>
      <c r="L59" s="9" t="str">
        <f>IF(MIN(E59:H59)&gt;=40,"PASS","FAIL")</f>
        <v>PASS</v>
      </c>
      <c r="M59" s="9" t="str">
        <f>IF(I59&gt;=75%,"ELIGIBLE","NOT ELIGIBLE")</f>
        <v>ELIGIBLE</v>
      </c>
      <c r="N59" s="9" t="str" cm="1">
        <f t="array" ref="N59">_xlfn.IFS(I59&gt;=95%,"EXCELLENT",I59&gt;=85%,"VERY GOOD",I59&gt;=75%,"GOOD",I59&gt;=65%,"IMPROVEMENT",I59&gt;=40%,"POOR",I59&gt;=0%,"WORST")</f>
        <v>VERY GOOD</v>
      </c>
    </row>
    <row r="60" spans="1:14" ht="20.25" customHeight="1">
      <c r="A60" s="9" t="s">
        <v>150</v>
      </c>
      <c r="B60" s="9" t="s">
        <v>151</v>
      </c>
      <c r="C60" s="9" t="s">
        <v>11</v>
      </c>
      <c r="D60" s="9" t="s">
        <v>12</v>
      </c>
      <c r="E60" s="9">
        <v>68</v>
      </c>
      <c r="F60" s="9">
        <v>74</v>
      </c>
      <c r="G60" s="9">
        <v>71</v>
      </c>
      <c r="H60" s="9">
        <v>76</v>
      </c>
      <c r="I60" s="11">
        <v>0.83</v>
      </c>
      <c r="J60" s="9">
        <f>SUM(E60:H60)</f>
        <v>289</v>
      </c>
      <c r="K60" s="11">
        <f>J60/400</f>
        <v>0.72250000000000003</v>
      </c>
      <c r="L60" s="9" t="str">
        <f>IF(MIN(E60:H60)&gt;=40,"PASS","FAIL")</f>
        <v>PASS</v>
      </c>
      <c r="M60" s="9" t="str">
        <f>IF(I60&gt;=75%,"ELIGIBLE","NOT ELIGIBLE")</f>
        <v>ELIGIBLE</v>
      </c>
      <c r="N60" s="9" t="str" cm="1">
        <f t="array" ref="N60">_xlfn.IFS(I60&gt;=95%,"EXCELLENT",I60&gt;=85%,"VERY GOOD",I60&gt;=75%,"GOOD",I60&gt;=65%,"IMPROVEMENT",I60&gt;=40%,"POOR",I60&gt;=0%,"WORST")</f>
        <v>GOOD</v>
      </c>
    </row>
    <row r="61" spans="1:14" ht="20.25" customHeight="1">
      <c r="A61" s="9" t="s">
        <v>72</v>
      </c>
      <c r="B61" s="9" t="s">
        <v>73</v>
      </c>
      <c r="C61" s="9" t="s">
        <v>11</v>
      </c>
      <c r="D61" s="9" t="s">
        <v>15</v>
      </c>
      <c r="E61" s="9">
        <v>68</v>
      </c>
      <c r="F61" s="9">
        <v>73</v>
      </c>
      <c r="G61" s="9">
        <v>71</v>
      </c>
      <c r="H61" s="9">
        <v>76</v>
      </c>
      <c r="I61" s="11">
        <v>0.85</v>
      </c>
      <c r="J61" s="9">
        <f>SUM(E61:H61)</f>
        <v>288</v>
      </c>
      <c r="K61" s="11">
        <f>J61/400</f>
        <v>0.72</v>
      </c>
      <c r="L61" s="9" t="str">
        <f>IF(MIN(E61:H61)&gt;=40,"PASS","FAIL")</f>
        <v>PASS</v>
      </c>
      <c r="M61" s="9" t="str">
        <f>IF(I61&gt;=75%,"ELIGIBLE","NOT ELIGIBLE")</f>
        <v>ELIGIBLE</v>
      </c>
      <c r="N61" s="9" t="str" cm="1">
        <f t="array" ref="N61">_xlfn.IFS(I61&gt;=95%,"EXCELLENT",I61&gt;=85%,"VERY GOOD",I61&gt;=75%,"GOOD",I61&gt;=65%,"IMPROVEMENT",I61&gt;=40%,"POOR",I61&gt;=0%,"WORST")</f>
        <v>VERY GOOD</v>
      </c>
    </row>
    <row r="62" spans="1:14" ht="20.25" customHeight="1">
      <c r="A62" s="9" t="s">
        <v>136</v>
      </c>
      <c r="B62" s="9" t="s">
        <v>137</v>
      </c>
      <c r="C62" s="9" t="s">
        <v>18</v>
      </c>
      <c r="D62" s="9" t="s">
        <v>15</v>
      </c>
      <c r="E62" s="9">
        <v>71</v>
      </c>
      <c r="F62" s="9">
        <v>67</v>
      </c>
      <c r="G62" s="9">
        <v>73</v>
      </c>
      <c r="H62" s="9">
        <v>77</v>
      </c>
      <c r="I62" s="11">
        <v>0.85</v>
      </c>
      <c r="J62" s="9">
        <f>SUM(E62:H62)</f>
        <v>288</v>
      </c>
      <c r="K62" s="11">
        <f>J62/400</f>
        <v>0.72</v>
      </c>
      <c r="L62" s="9" t="str">
        <f>IF(MIN(E62:H62)&gt;=40,"PASS","FAIL")</f>
        <v>PASS</v>
      </c>
      <c r="M62" s="9" t="str">
        <f>IF(I62&gt;=75%,"ELIGIBLE","NOT ELIGIBLE")</f>
        <v>ELIGIBLE</v>
      </c>
      <c r="N62" s="9" t="str" cm="1">
        <f t="array" ref="N62">_xlfn.IFS(I62&gt;=95%,"EXCELLENT",I62&gt;=85%,"VERY GOOD",I62&gt;=75%,"GOOD",I62&gt;=65%,"IMPROVEMENT",I62&gt;=40%,"POOR",I62&gt;=0%,"WORST")</f>
        <v>VERY GOOD</v>
      </c>
    </row>
    <row r="63" spans="1:14" ht="20.25" customHeight="1">
      <c r="A63" s="9" t="s">
        <v>198</v>
      </c>
      <c r="B63" s="9" t="s">
        <v>199</v>
      </c>
      <c r="C63" s="9" t="s">
        <v>11</v>
      </c>
      <c r="D63" s="9" t="s">
        <v>12</v>
      </c>
      <c r="E63" s="9">
        <v>69</v>
      </c>
      <c r="F63" s="9">
        <v>73</v>
      </c>
      <c r="G63" s="9">
        <v>67</v>
      </c>
      <c r="H63" s="9">
        <v>76</v>
      </c>
      <c r="I63" s="11">
        <v>0.84</v>
      </c>
      <c r="J63" s="9">
        <f>SUM(E63:H63)</f>
        <v>285</v>
      </c>
      <c r="K63" s="11">
        <f>J63/400</f>
        <v>0.71250000000000002</v>
      </c>
      <c r="L63" s="9" t="str">
        <f>IF(MIN(E63:H63)&gt;=40,"PASS","FAIL")</f>
        <v>PASS</v>
      </c>
      <c r="M63" s="9" t="str">
        <f>IF(I63&gt;=75%,"ELIGIBLE","NOT ELIGIBLE")</f>
        <v>ELIGIBLE</v>
      </c>
      <c r="N63" s="9" t="str" cm="1">
        <f t="array" ref="N63">_xlfn.IFS(I63&gt;=95%,"EXCELLENT",I63&gt;=85%,"VERY GOOD",I63&gt;=75%,"GOOD",I63&gt;=65%,"IMPROVEMENT",I63&gt;=40%,"POOR",I63&gt;=0%,"WORST")</f>
        <v>GOOD</v>
      </c>
    </row>
    <row r="64" spans="1:14" ht="20.25" customHeight="1">
      <c r="A64" s="9" t="s">
        <v>42</v>
      </c>
      <c r="B64" s="9" t="s">
        <v>43</v>
      </c>
      <c r="C64" s="9" t="s">
        <v>11</v>
      </c>
      <c r="D64" s="9" t="s">
        <v>12</v>
      </c>
      <c r="E64" s="9">
        <v>69</v>
      </c>
      <c r="F64" s="9">
        <v>74</v>
      </c>
      <c r="G64" s="9">
        <v>67</v>
      </c>
      <c r="H64" s="9">
        <v>72</v>
      </c>
      <c r="I64" s="11">
        <v>0.84</v>
      </c>
      <c r="J64" s="9">
        <f>SUM(E64:H64)</f>
        <v>282</v>
      </c>
      <c r="K64" s="11">
        <f>J64/400</f>
        <v>0.70499999999999996</v>
      </c>
      <c r="L64" s="9" t="str">
        <f>IF(MIN(E64:H64)&gt;=40,"PASS","FAIL")</f>
        <v>PASS</v>
      </c>
      <c r="M64" s="9" t="str">
        <f>IF(I64&gt;=75%,"ELIGIBLE","NOT ELIGIBLE")</f>
        <v>ELIGIBLE</v>
      </c>
      <c r="N64" s="9" t="str" cm="1">
        <f t="array" ref="N64">_xlfn.IFS(I64&gt;=95%,"EXCELLENT",I64&gt;=85%,"VERY GOOD",I64&gt;=75%,"GOOD",I64&gt;=65%,"IMPROVEMENT",I64&gt;=40%,"POOR",I64&gt;=0%,"WORST")</f>
        <v>GOOD</v>
      </c>
    </row>
    <row r="65" spans="1:14" ht="20.25" customHeight="1">
      <c r="A65" s="9" t="s">
        <v>90</v>
      </c>
      <c r="B65" s="9" t="s">
        <v>91</v>
      </c>
      <c r="C65" s="9" t="s">
        <v>11</v>
      </c>
      <c r="D65" s="9" t="s">
        <v>12</v>
      </c>
      <c r="E65" s="9">
        <v>67</v>
      </c>
      <c r="F65" s="9">
        <v>72</v>
      </c>
      <c r="G65" s="9">
        <v>69</v>
      </c>
      <c r="H65" s="9">
        <v>74</v>
      </c>
      <c r="I65" s="11">
        <v>0.83</v>
      </c>
      <c r="J65" s="9">
        <f>SUM(E65:H65)</f>
        <v>282</v>
      </c>
      <c r="K65" s="11">
        <f>J65/400</f>
        <v>0.70499999999999996</v>
      </c>
      <c r="L65" s="9" t="str">
        <f>IF(MIN(E65:H65)&gt;=40,"PASS","FAIL")</f>
        <v>PASS</v>
      </c>
      <c r="M65" s="9" t="str">
        <f>IF(I65&gt;=75%,"ELIGIBLE","NOT ELIGIBLE")</f>
        <v>ELIGIBLE</v>
      </c>
      <c r="N65" s="9" t="str" cm="1">
        <f t="array" ref="N65">_xlfn.IFS(I65&gt;=95%,"EXCELLENT",I65&gt;=85%,"VERY GOOD",I65&gt;=75%,"GOOD",I65&gt;=65%,"IMPROVEMENT",I65&gt;=40%,"POOR",I65&gt;=0%,"WORST")</f>
        <v>GOOD</v>
      </c>
    </row>
    <row r="66" spans="1:14" ht="20.25" customHeight="1">
      <c r="A66" s="9" t="s">
        <v>126</v>
      </c>
      <c r="B66" s="9" t="s">
        <v>127</v>
      </c>
      <c r="C66" s="9" t="s">
        <v>11</v>
      </c>
      <c r="D66" s="9" t="s">
        <v>12</v>
      </c>
      <c r="E66" s="9">
        <v>66</v>
      </c>
      <c r="F66" s="9">
        <v>71</v>
      </c>
      <c r="G66" s="9">
        <v>68</v>
      </c>
      <c r="H66" s="9">
        <v>75</v>
      </c>
      <c r="I66" s="11">
        <v>0.84</v>
      </c>
      <c r="J66" s="9">
        <f>SUM(E66:H66)</f>
        <v>280</v>
      </c>
      <c r="K66" s="11">
        <f>J66/400</f>
        <v>0.7</v>
      </c>
      <c r="L66" s="9" t="str">
        <f>IF(MIN(E66:H66)&gt;=40,"PASS","FAIL")</f>
        <v>PASS</v>
      </c>
      <c r="M66" s="9" t="str">
        <f>IF(I66&gt;=75%,"ELIGIBLE","NOT ELIGIBLE")</f>
        <v>ELIGIBLE</v>
      </c>
      <c r="N66" s="9" t="str" cm="1">
        <f t="array" ref="N66">_xlfn.IFS(I66&gt;=95%,"EXCELLENT",I66&gt;=85%,"VERY GOOD",I66&gt;=75%,"GOOD",I66&gt;=65%,"IMPROVEMENT",I66&gt;=40%,"POOR",I66&gt;=0%,"WORST")</f>
        <v>GOOD</v>
      </c>
    </row>
    <row r="67" spans="1:14" ht="20.25" customHeight="1">
      <c r="A67" s="9" t="s">
        <v>13</v>
      </c>
      <c r="B67" s="9" t="s">
        <v>14</v>
      </c>
      <c r="C67" s="9" t="s">
        <v>11</v>
      </c>
      <c r="D67" s="9" t="s">
        <v>15</v>
      </c>
      <c r="E67" s="9">
        <v>65</v>
      </c>
      <c r="F67" s="9">
        <v>71</v>
      </c>
      <c r="G67" s="9">
        <v>68</v>
      </c>
      <c r="H67" s="9">
        <v>75</v>
      </c>
      <c r="I67" s="11">
        <v>0.87</v>
      </c>
      <c r="J67" s="9">
        <f>SUM(E67:H67)</f>
        <v>279</v>
      </c>
      <c r="K67" s="11">
        <f>J67/400</f>
        <v>0.69750000000000001</v>
      </c>
      <c r="L67" s="9" t="str">
        <f>IF(MIN(E67:H67)&gt;=40,"PASS","FAIL")</f>
        <v>PASS</v>
      </c>
      <c r="M67" s="9" t="str">
        <f>IF(I67&gt;=75%,"ELIGIBLE","NOT ELIGIBLE")</f>
        <v>ELIGIBLE</v>
      </c>
      <c r="N67" s="9" t="str" cm="1">
        <f t="array" ref="N67">_xlfn.IFS(I67&gt;=95%,"EXCELLENT",I67&gt;=85%,"VERY GOOD",I67&gt;=75%,"GOOD",I67&gt;=65%,"IMPROVEMENT",I67&gt;=40%,"POOR",I67&gt;=0%,"WORST")</f>
        <v>VERY GOOD</v>
      </c>
    </row>
    <row r="68" spans="1:14" ht="20.25" customHeight="1">
      <c r="A68" s="9" t="s">
        <v>174</v>
      </c>
      <c r="B68" s="9" t="s">
        <v>175</v>
      </c>
      <c r="C68" s="9" t="s">
        <v>11</v>
      </c>
      <c r="D68" s="9" t="s">
        <v>12</v>
      </c>
      <c r="E68" s="9">
        <v>64</v>
      </c>
      <c r="F68" s="9">
        <v>69</v>
      </c>
      <c r="G68" s="9">
        <v>66</v>
      </c>
      <c r="H68" s="9">
        <v>72</v>
      </c>
      <c r="I68" s="11">
        <v>0.82</v>
      </c>
      <c r="J68" s="9">
        <f>SUM(E68:H68)</f>
        <v>271</v>
      </c>
      <c r="K68" s="11">
        <f>J68/400</f>
        <v>0.67749999999999999</v>
      </c>
      <c r="L68" s="9" t="str">
        <f>IF(MIN(E68:H68)&gt;=40,"PASS","FAIL")</f>
        <v>PASS</v>
      </c>
      <c r="M68" s="9" t="str">
        <f>IF(I68&gt;=75%,"ELIGIBLE","NOT ELIGIBLE")</f>
        <v>ELIGIBLE</v>
      </c>
      <c r="N68" s="9" t="str" cm="1">
        <f t="array" ref="N68">_xlfn.IFS(I68&gt;=95%,"EXCELLENT",I68&gt;=85%,"VERY GOOD",I68&gt;=75%,"GOOD",I68&gt;=65%,"IMPROVEMENT",I68&gt;=40%,"POOR",I68&gt;=0%,"WORST")</f>
        <v>GOOD</v>
      </c>
    </row>
    <row r="69" spans="1:14" ht="20.25" customHeight="1">
      <c r="A69" s="9" t="s">
        <v>208</v>
      </c>
      <c r="B69" s="9" t="s">
        <v>209</v>
      </c>
      <c r="C69" s="9" t="s">
        <v>18</v>
      </c>
      <c r="D69" s="9" t="s">
        <v>15</v>
      </c>
      <c r="E69" s="9">
        <v>63</v>
      </c>
      <c r="F69" s="9">
        <v>70</v>
      </c>
      <c r="G69" s="9">
        <v>65</v>
      </c>
      <c r="H69" s="9">
        <v>73</v>
      </c>
      <c r="I69" s="11">
        <v>0.83</v>
      </c>
      <c r="J69" s="9">
        <f>SUM(E69:H69)</f>
        <v>271</v>
      </c>
      <c r="K69" s="11">
        <f>J69/400</f>
        <v>0.67749999999999999</v>
      </c>
      <c r="L69" s="9" t="str">
        <f>IF(MIN(E69:H69)&gt;=40,"PASS","FAIL")</f>
        <v>PASS</v>
      </c>
      <c r="M69" s="9" t="str">
        <f>IF(I69&gt;=75%,"ELIGIBLE","NOT ELIGIBLE")</f>
        <v>ELIGIBLE</v>
      </c>
      <c r="N69" s="9" t="str" cm="1">
        <f t="array" ref="N69">_xlfn.IFS(I69&gt;=95%,"EXCELLENT",I69&gt;=85%,"VERY GOOD",I69&gt;=75%,"GOOD",I69&gt;=65%,"IMPROVEMENT",I69&gt;=40%,"POOR",I69&gt;=0%,"WORST")</f>
        <v>GOOD</v>
      </c>
    </row>
    <row r="70" spans="1:14" ht="20.25" customHeight="1">
      <c r="A70" s="9" t="s">
        <v>110</v>
      </c>
      <c r="B70" s="9" t="s">
        <v>111</v>
      </c>
      <c r="C70" s="9" t="s">
        <v>21</v>
      </c>
      <c r="D70" s="9" t="s">
        <v>12</v>
      </c>
      <c r="E70" s="9">
        <v>62</v>
      </c>
      <c r="F70" s="9">
        <v>68</v>
      </c>
      <c r="G70" s="9">
        <v>65</v>
      </c>
      <c r="H70" s="9">
        <v>73</v>
      </c>
      <c r="I70" s="11">
        <v>0.81</v>
      </c>
      <c r="J70" s="9">
        <f>SUM(E70:H70)</f>
        <v>268</v>
      </c>
      <c r="K70" s="11">
        <f>J70/400</f>
        <v>0.67</v>
      </c>
      <c r="L70" s="9" t="str">
        <f>IF(MIN(E70:H70)&gt;=40,"PASS","FAIL")</f>
        <v>PASS</v>
      </c>
      <c r="M70" s="9" t="str">
        <f>IF(I70&gt;=75%,"ELIGIBLE","NOT ELIGIBLE")</f>
        <v>ELIGIBLE</v>
      </c>
      <c r="N70" s="9" t="str" cm="1">
        <f t="array" ref="N70">_xlfn.IFS(I70&gt;=95%,"EXCELLENT",I70&gt;=85%,"VERY GOOD",I70&gt;=75%,"GOOD",I70&gt;=65%,"IMPROVEMENT",I70&gt;=40%,"POOR",I70&gt;=0%,"WORST")</f>
        <v>GOOD</v>
      </c>
    </row>
    <row r="71" spans="1:14" ht="20.25" customHeight="1">
      <c r="A71" s="9" t="s">
        <v>56</v>
      </c>
      <c r="B71" s="9" t="s">
        <v>57</v>
      </c>
      <c r="C71" s="9" t="s">
        <v>21</v>
      </c>
      <c r="D71" s="9" t="s">
        <v>15</v>
      </c>
      <c r="E71" s="9">
        <v>64</v>
      </c>
      <c r="F71" s="9">
        <v>69</v>
      </c>
      <c r="G71" s="9">
        <v>62</v>
      </c>
      <c r="H71" s="9">
        <v>71</v>
      </c>
      <c r="I71" s="11">
        <v>0.82</v>
      </c>
      <c r="J71" s="9">
        <f>SUM(E71:H71)</f>
        <v>266</v>
      </c>
      <c r="K71" s="11">
        <f>J71/400</f>
        <v>0.66500000000000004</v>
      </c>
      <c r="L71" s="9" t="str">
        <f>IF(MIN(E71:H71)&gt;=40,"PASS","FAIL")</f>
        <v>PASS</v>
      </c>
      <c r="M71" s="9" t="str">
        <f>IF(I71&gt;=75%,"ELIGIBLE","NOT ELIGIBLE")</f>
        <v>ELIGIBLE</v>
      </c>
      <c r="N71" s="9" t="str" cm="1">
        <f t="array" ref="N71">_xlfn.IFS(I71&gt;=95%,"EXCELLENT",I71&gt;=85%,"VERY GOOD",I71&gt;=75%,"GOOD",I71&gt;=65%,"IMPROVEMENT",I71&gt;=40%,"POOR",I71&gt;=0%,"WORST")</f>
        <v>GOOD</v>
      </c>
    </row>
    <row r="72" spans="1:14" ht="20.25" customHeight="1">
      <c r="A72" s="9" t="s">
        <v>190</v>
      </c>
      <c r="B72" s="9" t="s">
        <v>191</v>
      </c>
      <c r="C72" s="9" t="s">
        <v>18</v>
      </c>
      <c r="D72" s="9" t="s">
        <v>12</v>
      </c>
      <c r="E72" s="9">
        <v>61</v>
      </c>
      <c r="F72" s="9">
        <v>66</v>
      </c>
      <c r="G72" s="9">
        <v>63</v>
      </c>
      <c r="H72" s="9">
        <v>71</v>
      </c>
      <c r="I72" s="11">
        <v>0.8</v>
      </c>
      <c r="J72" s="9">
        <f>SUM(E72:H72)</f>
        <v>261</v>
      </c>
      <c r="K72" s="11">
        <f>J72/400</f>
        <v>0.65249999999999997</v>
      </c>
      <c r="L72" s="9" t="str">
        <f>IF(MIN(E72:H72)&gt;=40,"PASS","FAIL")</f>
        <v>PASS</v>
      </c>
      <c r="M72" s="9" t="str">
        <f>IF(I72&gt;=75%,"ELIGIBLE","NOT ELIGIBLE")</f>
        <v>ELIGIBLE</v>
      </c>
      <c r="N72" s="9" t="str" cm="1">
        <f t="array" ref="N72">_xlfn.IFS(I72&gt;=95%,"EXCELLENT",I72&gt;=85%,"VERY GOOD",I72&gt;=75%,"GOOD",I72&gt;=65%,"IMPROVEMENT",I72&gt;=40%,"POOR",I72&gt;=0%,"WORST")</f>
        <v>GOOD</v>
      </c>
    </row>
    <row r="73" spans="1:14" ht="20.25" customHeight="1">
      <c r="A73" s="9" t="s">
        <v>82</v>
      </c>
      <c r="B73" s="9" t="s">
        <v>83</v>
      </c>
      <c r="C73" s="9" t="s">
        <v>18</v>
      </c>
      <c r="D73" s="9" t="s">
        <v>12</v>
      </c>
      <c r="E73" s="9">
        <v>63</v>
      </c>
      <c r="F73" s="9">
        <v>59</v>
      </c>
      <c r="G73" s="9">
        <v>66</v>
      </c>
      <c r="H73" s="9">
        <v>70</v>
      </c>
      <c r="I73" s="11">
        <v>0.8</v>
      </c>
      <c r="J73" s="9">
        <f>SUM(E73:H73)</f>
        <v>258</v>
      </c>
      <c r="K73" s="11">
        <f>J73/400</f>
        <v>0.64500000000000002</v>
      </c>
      <c r="L73" s="9" t="str">
        <f>IF(MIN(E73:H73)&gt;=40,"PASS","FAIL")</f>
        <v>PASS</v>
      </c>
      <c r="M73" s="9" t="str">
        <f>IF(I73&gt;=75%,"ELIGIBLE","NOT ELIGIBLE")</f>
        <v>ELIGIBLE</v>
      </c>
      <c r="N73" s="9" t="str" cm="1">
        <f t="array" ref="N73">_xlfn.IFS(I73&gt;=95%,"EXCELLENT",I73&gt;=85%,"VERY GOOD",I73&gt;=75%,"GOOD",I73&gt;=65%,"IMPROVEMENT",I73&gt;=40%,"POOR",I73&gt;=0%,"WORST")</f>
        <v>GOOD</v>
      </c>
    </row>
    <row r="74" spans="1:14" ht="20.25" customHeight="1">
      <c r="A74" s="9" t="s">
        <v>142</v>
      </c>
      <c r="B74" s="9" t="s">
        <v>143</v>
      </c>
      <c r="C74" s="9" t="s">
        <v>18</v>
      </c>
      <c r="D74" s="9" t="s">
        <v>12</v>
      </c>
      <c r="E74" s="9">
        <v>60</v>
      </c>
      <c r="F74" s="9">
        <v>65</v>
      </c>
      <c r="G74" s="9">
        <v>62</v>
      </c>
      <c r="H74" s="9">
        <v>69</v>
      </c>
      <c r="I74" s="11">
        <v>0.8</v>
      </c>
      <c r="J74" s="9">
        <f>SUM(E74:H74)</f>
        <v>256</v>
      </c>
      <c r="K74" s="11">
        <f>J74/400</f>
        <v>0.64</v>
      </c>
      <c r="L74" s="9" t="str">
        <f>IF(MIN(E74:H74)&gt;=40,"PASS","FAIL")</f>
        <v>PASS</v>
      </c>
      <c r="M74" s="9" t="str">
        <f>IF(I74&gt;=75%,"ELIGIBLE","NOT ELIGIBLE")</f>
        <v>ELIGIBLE</v>
      </c>
      <c r="N74" s="9" t="str" cm="1">
        <f t="array" ref="N74">_xlfn.IFS(I74&gt;=95%,"EXCELLENT",I74&gt;=85%,"VERY GOOD",I74&gt;=75%,"GOOD",I74&gt;=65%,"IMPROVEMENT",I74&gt;=40%,"POOR",I74&gt;=0%,"WORST")</f>
        <v>GOOD</v>
      </c>
    </row>
    <row r="75" spans="1:14" ht="20.25" customHeight="1">
      <c r="A75" s="9" t="s">
        <v>32</v>
      </c>
      <c r="B75" s="9" t="s">
        <v>33</v>
      </c>
      <c r="C75" s="9" t="s">
        <v>21</v>
      </c>
      <c r="D75" s="9" t="s">
        <v>15</v>
      </c>
      <c r="E75" s="9">
        <v>61</v>
      </c>
      <c r="F75" s="9">
        <v>57</v>
      </c>
      <c r="G75" s="9">
        <v>64</v>
      </c>
      <c r="H75" s="9">
        <v>69</v>
      </c>
      <c r="I75" s="11">
        <v>0.78</v>
      </c>
      <c r="J75" s="9">
        <f>SUM(E75:H75)</f>
        <v>251</v>
      </c>
      <c r="K75" s="11">
        <f>J75/400</f>
        <v>0.62749999999999995</v>
      </c>
      <c r="L75" s="9" t="str">
        <f>IF(MIN(E75:H75)&gt;=40,"PASS","FAIL")</f>
        <v>PASS</v>
      </c>
      <c r="M75" s="9" t="str">
        <f>IF(I75&gt;=75%,"ELIGIBLE","NOT ELIGIBLE")</f>
        <v>ELIGIBLE</v>
      </c>
      <c r="N75" s="9" t="str" cm="1">
        <f t="array" ref="N75">_xlfn.IFS(I75&gt;=95%,"EXCELLENT",I75&gt;=85%,"VERY GOOD",I75&gt;=75%,"GOOD",I75&gt;=65%,"IMPROVEMENT",I75&gt;=40%,"POOR",I75&gt;=0%,"WORST")</f>
        <v>GOOD</v>
      </c>
    </row>
    <row r="76" spans="1:14" ht="20.25" customHeight="1">
      <c r="A76" s="9" t="s">
        <v>94</v>
      </c>
      <c r="B76" s="9" t="s">
        <v>95</v>
      </c>
      <c r="C76" s="9" t="s">
        <v>18</v>
      </c>
      <c r="D76" s="9" t="s">
        <v>12</v>
      </c>
      <c r="E76" s="9">
        <v>57</v>
      </c>
      <c r="F76" s="9">
        <v>64</v>
      </c>
      <c r="G76" s="9">
        <v>61</v>
      </c>
      <c r="H76" s="9">
        <v>68</v>
      </c>
      <c r="I76" s="11">
        <v>0.78</v>
      </c>
      <c r="J76" s="9">
        <f>SUM(E76:H76)</f>
        <v>250</v>
      </c>
      <c r="K76" s="11">
        <f>J76/400</f>
        <v>0.625</v>
      </c>
      <c r="L76" s="9" t="str">
        <f>IF(MIN(E76:H76)&gt;=40,"PASS","FAIL")</f>
        <v>PASS</v>
      </c>
      <c r="M76" s="9" t="str">
        <f>IF(I76&gt;=75%,"ELIGIBLE","NOT ELIGIBLE")</f>
        <v>ELIGIBLE</v>
      </c>
      <c r="N76" s="9" t="str" cm="1">
        <f t="array" ref="N76">_xlfn.IFS(I76&gt;=95%,"EXCELLENT",I76&gt;=85%,"VERY GOOD",I76&gt;=75%,"GOOD",I76&gt;=65%,"IMPROVEMENT",I76&gt;=40%,"POOR",I76&gt;=0%,"WORST")</f>
        <v>GOOD</v>
      </c>
    </row>
    <row r="77" spans="1:14" ht="20.25" customHeight="1">
      <c r="A77" s="9" t="s">
        <v>22</v>
      </c>
      <c r="B77" s="9" t="s">
        <v>23</v>
      </c>
      <c r="C77" s="9" t="s">
        <v>18</v>
      </c>
      <c r="D77" s="9" t="s">
        <v>12</v>
      </c>
      <c r="E77" s="9">
        <v>56</v>
      </c>
      <c r="F77" s="9">
        <v>63</v>
      </c>
      <c r="G77" s="9">
        <v>59</v>
      </c>
      <c r="H77" s="9">
        <v>70</v>
      </c>
      <c r="I77" s="11">
        <v>0.81</v>
      </c>
      <c r="J77" s="9">
        <f>SUM(E77:H77)</f>
        <v>248</v>
      </c>
      <c r="K77" s="11">
        <f>J77/400</f>
        <v>0.62</v>
      </c>
      <c r="L77" s="9" t="str">
        <f>IF(MIN(E77:H77)&gt;=40,"PASS","FAIL")</f>
        <v>PASS</v>
      </c>
      <c r="M77" s="9" t="str">
        <f>IF(I77&gt;=75%,"ELIGIBLE","NOT ELIGIBLE")</f>
        <v>ELIGIBLE</v>
      </c>
      <c r="N77" s="9" t="str" cm="1">
        <f t="array" ref="N77">_xlfn.IFS(I77&gt;=95%,"EXCELLENT",I77&gt;=85%,"VERY GOOD",I77&gt;=75%,"GOOD",I77&gt;=65%,"IMPROVEMENT",I77&gt;=40%,"POOR",I77&gt;=0%,"WORST")</f>
        <v>GOOD</v>
      </c>
    </row>
    <row r="78" spans="1:14" ht="20.25" customHeight="1">
      <c r="A78" s="9" t="s">
        <v>116</v>
      </c>
      <c r="B78" s="9" t="s">
        <v>117</v>
      </c>
      <c r="C78" s="9" t="s">
        <v>21</v>
      </c>
      <c r="D78" s="9" t="s">
        <v>15</v>
      </c>
      <c r="E78" s="9">
        <v>59</v>
      </c>
      <c r="F78" s="9">
        <v>63</v>
      </c>
      <c r="G78" s="9">
        <v>58</v>
      </c>
      <c r="H78" s="9">
        <v>66</v>
      </c>
      <c r="I78" s="11">
        <v>0.77</v>
      </c>
      <c r="J78" s="9">
        <f>SUM(E78:H78)</f>
        <v>246</v>
      </c>
      <c r="K78" s="11">
        <f>J78/400</f>
        <v>0.61499999999999999</v>
      </c>
      <c r="L78" s="9" t="str">
        <f>IF(MIN(E78:H78)&gt;=40,"PASS","FAIL")</f>
        <v>PASS</v>
      </c>
      <c r="M78" s="9" t="str">
        <f>IF(I78&gt;=75%,"ELIGIBLE","NOT ELIGIBLE")</f>
        <v>ELIGIBLE</v>
      </c>
      <c r="N78" s="9" t="str" cm="1">
        <f t="array" ref="N78">_xlfn.IFS(I78&gt;=95%,"EXCELLENT",I78&gt;=85%,"VERY GOOD",I78&gt;=75%,"GOOD",I78&gt;=65%,"IMPROVEMENT",I78&gt;=40%,"POOR",I78&gt;=0%,"WORST")</f>
        <v>GOOD</v>
      </c>
    </row>
    <row r="79" spans="1:14" ht="20.25" customHeight="1">
      <c r="A79" s="9" t="s">
        <v>58</v>
      </c>
      <c r="B79" s="9" t="s">
        <v>59</v>
      </c>
      <c r="C79" s="9" t="s">
        <v>18</v>
      </c>
      <c r="D79" s="9" t="s">
        <v>12</v>
      </c>
      <c r="E79" s="9">
        <v>58</v>
      </c>
      <c r="F79" s="9">
        <v>61</v>
      </c>
      <c r="G79" s="9">
        <v>55</v>
      </c>
      <c r="H79" s="9">
        <v>67</v>
      </c>
      <c r="I79" s="11">
        <v>0.79</v>
      </c>
      <c r="J79" s="9">
        <f>SUM(E79:H79)</f>
        <v>241</v>
      </c>
      <c r="K79" s="11">
        <f>J79/400</f>
        <v>0.60250000000000004</v>
      </c>
      <c r="L79" s="9" t="str">
        <f>IF(MIN(E79:H79)&gt;=40,"PASS","FAIL")</f>
        <v>PASS</v>
      </c>
      <c r="M79" s="9" t="str">
        <f>IF(I79&gt;=75%,"ELIGIBLE","NOT ELIGIBLE")</f>
        <v>ELIGIBLE</v>
      </c>
      <c r="N79" s="9" t="str" cm="1">
        <f t="array" ref="N79">_xlfn.IFS(I79&gt;=95%,"EXCELLENT",I79&gt;=85%,"VERY GOOD",I79&gt;=75%,"GOOD",I79&gt;=65%,"IMPROVEMENT",I79&gt;=40%,"POOR",I79&gt;=0%,"WORST")</f>
        <v>GOOD</v>
      </c>
    </row>
    <row r="80" spans="1:14" ht="20.25" customHeight="1">
      <c r="A80" s="9" t="s">
        <v>194</v>
      </c>
      <c r="B80" s="9" t="s">
        <v>195</v>
      </c>
      <c r="C80" s="9" t="s">
        <v>21</v>
      </c>
      <c r="D80" s="9" t="s">
        <v>12</v>
      </c>
      <c r="E80" s="9">
        <v>56</v>
      </c>
      <c r="F80" s="9">
        <v>62</v>
      </c>
      <c r="G80" s="9">
        <v>58</v>
      </c>
      <c r="H80" s="9">
        <v>65</v>
      </c>
      <c r="I80" s="11">
        <v>0.77</v>
      </c>
      <c r="J80" s="9">
        <f>SUM(E80:H80)</f>
        <v>241</v>
      </c>
      <c r="K80" s="11">
        <f>J80/400</f>
        <v>0.60250000000000004</v>
      </c>
      <c r="L80" s="9" t="str">
        <f>IF(MIN(E80:H80)&gt;=40,"PASS","FAIL")</f>
        <v>PASS</v>
      </c>
      <c r="M80" s="9" t="str">
        <f>IF(I80&gt;=75%,"ELIGIBLE","NOT ELIGIBLE")</f>
        <v>ELIGIBLE</v>
      </c>
      <c r="N80" s="9" t="str" cm="1">
        <f t="array" ref="N80">_xlfn.IFS(I80&gt;=95%,"EXCELLENT",I80&gt;=85%,"VERY GOOD",I80&gt;=75%,"GOOD",I80&gt;=65%,"IMPROVEMENT",I80&gt;=40%,"POOR",I80&gt;=0%,"WORST")</f>
        <v>GOOD</v>
      </c>
    </row>
    <row r="81" spans="1:14" ht="20.25" customHeight="1">
      <c r="A81" s="9" t="s">
        <v>162</v>
      </c>
      <c r="B81" s="9" t="s">
        <v>163</v>
      </c>
      <c r="C81" s="9" t="s">
        <v>11</v>
      </c>
      <c r="D81" s="9" t="s">
        <v>12</v>
      </c>
      <c r="E81" s="9">
        <v>58</v>
      </c>
      <c r="F81" s="9">
        <v>54</v>
      </c>
      <c r="G81" s="9">
        <v>60</v>
      </c>
      <c r="H81" s="9">
        <v>67</v>
      </c>
      <c r="I81" s="11">
        <v>0.78</v>
      </c>
      <c r="J81" s="9">
        <f>SUM(E81:H81)</f>
        <v>239</v>
      </c>
      <c r="K81" s="11">
        <f>J81/400</f>
        <v>0.59750000000000003</v>
      </c>
      <c r="L81" s="9" t="str">
        <f>IF(MIN(E81:H81)&gt;=40,"PASS","FAIL")</f>
        <v>PASS</v>
      </c>
      <c r="M81" s="9" t="str">
        <f>IF(I81&gt;=75%,"ELIGIBLE","NOT ELIGIBLE")</f>
        <v>ELIGIBLE</v>
      </c>
      <c r="N81" s="9" t="str" cm="1">
        <f t="array" ref="N81">_xlfn.IFS(I81&gt;=95%,"EXCELLENT",I81&gt;=85%,"VERY GOOD",I81&gt;=75%,"GOOD",I81&gt;=65%,"IMPROVEMENT",I81&gt;=40%,"POOR",I81&gt;=0%,"WORST")</f>
        <v>GOOD</v>
      </c>
    </row>
    <row r="82" spans="1:14" ht="20.25" customHeight="1">
      <c r="A82" s="9" t="s">
        <v>130</v>
      </c>
      <c r="B82" s="9" t="s">
        <v>131</v>
      </c>
      <c r="C82" s="9" t="s">
        <v>18</v>
      </c>
      <c r="D82" s="9" t="s">
        <v>12</v>
      </c>
      <c r="E82" s="9">
        <v>55</v>
      </c>
      <c r="F82" s="9">
        <v>60</v>
      </c>
      <c r="G82" s="9">
        <v>53</v>
      </c>
      <c r="H82" s="9">
        <v>64</v>
      </c>
      <c r="I82" s="11">
        <v>0.76</v>
      </c>
      <c r="J82" s="9">
        <f>SUM(E82:H82)</f>
        <v>232</v>
      </c>
      <c r="K82" s="11">
        <f>J82/400</f>
        <v>0.57999999999999996</v>
      </c>
      <c r="L82" s="9" t="str">
        <f>IF(MIN(E82:H82)&gt;=40,"PASS","FAIL")</f>
        <v>PASS</v>
      </c>
      <c r="M82" s="9" t="str">
        <f>IF(I82&gt;=75%,"ELIGIBLE","NOT ELIGIBLE")</f>
        <v>ELIGIBLE</v>
      </c>
      <c r="N82" s="9" t="str" cm="1">
        <f t="array" ref="N82">_xlfn.IFS(I82&gt;=95%,"EXCELLENT",I82&gt;=85%,"VERY GOOD",I82&gt;=75%,"GOOD",I82&gt;=65%,"IMPROVEMENT",I82&gt;=40%,"POOR",I82&gt;=0%,"WORST")</f>
        <v>GOOD</v>
      </c>
    </row>
    <row r="83" spans="1:14" ht="20.25" customHeight="1">
      <c r="A83" s="9" t="s">
        <v>178</v>
      </c>
      <c r="B83" s="9" t="s">
        <v>179</v>
      </c>
      <c r="C83" s="9" t="s">
        <v>18</v>
      </c>
      <c r="D83" s="9" t="s">
        <v>12</v>
      </c>
      <c r="E83" s="9">
        <v>51</v>
      </c>
      <c r="F83" s="9">
        <v>56</v>
      </c>
      <c r="G83" s="9">
        <v>54</v>
      </c>
      <c r="H83" s="9">
        <v>63</v>
      </c>
      <c r="I83" s="11">
        <v>0.76</v>
      </c>
      <c r="J83" s="9">
        <f>SUM(E83:H83)</f>
        <v>224</v>
      </c>
      <c r="K83" s="11">
        <f>J83/400</f>
        <v>0.56000000000000005</v>
      </c>
      <c r="L83" s="9" t="str">
        <f>IF(MIN(E83:H83)&gt;=40,"PASS","FAIL")</f>
        <v>PASS</v>
      </c>
      <c r="M83" s="9" t="str">
        <f>IF(I83&gt;=75%,"ELIGIBLE","NOT ELIGIBLE")</f>
        <v>ELIGIBLE</v>
      </c>
      <c r="N83" s="9" t="str" cm="1">
        <f t="array" ref="N83">_xlfn.IFS(I83&gt;=95%,"EXCELLENT",I83&gt;=85%,"VERY GOOD",I83&gt;=75%,"GOOD",I83&gt;=65%,"IMPROVEMENT",I83&gt;=40%,"POOR",I83&gt;=0%,"WORST")</f>
        <v>GOOD</v>
      </c>
    </row>
    <row r="84" spans="1:14" ht="20.25" customHeight="1">
      <c r="A84" s="9" t="s">
        <v>46</v>
      </c>
      <c r="B84" s="9" t="s">
        <v>47</v>
      </c>
      <c r="C84" s="9" t="s">
        <v>18</v>
      </c>
      <c r="D84" s="9" t="s">
        <v>12</v>
      </c>
      <c r="E84" s="9">
        <v>54</v>
      </c>
      <c r="F84" s="9">
        <v>49</v>
      </c>
      <c r="G84" s="9">
        <v>57</v>
      </c>
      <c r="H84" s="9">
        <v>63</v>
      </c>
      <c r="I84" s="11">
        <v>0.76</v>
      </c>
      <c r="J84" s="9">
        <f>SUM(E84:H84)</f>
        <v>223</v>
      </c>
      <c r="K84" s="11">
        <f>J84/400</f>
        <v>0.5575</v>
      </c>
      <c r="L84" s="9" t="str">
        <f>IF(MIN(E84:H84)&gt;=40,"PASS","FAIL")</f>
        <v>PASS</v>
      </c>
      <c r="M84" s="9" t="str">
        <f>IF(I84&gt;=75%,"ELIGIBLE","NOT ELIGIBLE")</f>
        <v>ELIGIBLE</v>
      </c>
      <c r="N84" s="9" t="str" cm="1">
        <f t="array" ref="N84">_xlfn.IFS(I84&gt;=95%,"EXCELLENT",I84&gt;=85%,"VERY GOOD",I84&gt;=75%,"GOOD",I84&gt;=65%,"IMPROVEMENT",I84&gt;=40%,"POOR",I84&gt;=0%,"WORST")</f>
        <v>GOOD</v>
      </c>
    </row>
    <row r="85" spans="1:14" ht="20.25" customHeight="1">
      <c r="A85" s="9" t="s">
        <v>146</v>
      </c>
      <c r="B85" s="9" t="s">
        <v>147</v>
      </c>
      <c r="C85" s="9" t="s">
        <v>21</v>
      </c>
      <c r="D85" s="9" t="s">
        <v>12</v>
      </c>
      <c r="E85" s="9">
        <v>53</v>
      </c>
      <c r="F85" s="9">
        <v>57</v>
      </c>
      <c r="G85" s="9">
        <v>50</v>
      </c>
      <c r="H85" s="9">
        <v>61</v>
      </c>
      <c r="I85" s="11">
        <v>0.75</v>
      </c>
      <c r="J85" s="9">
        <f>SUM(E85:H85)</f>
        <v>221</v>
      </c>
      <c r="K85" s="11">
        <f>J85/400</f>
        <v>0.55249999999999999</v>
      </c>
      <c r="L85" s="9" t="str">
        <f>IF(MIN(E85:H85)&gt;=40,"PASS","FAIL")</f>
        <v>PASS</v>
      </c>
      <c r="M85" s="9" t="str">
        <f>IF(I85&gt;=75%,"ELIGIBLE","NOT ELIGIBLE")</f>
        <v>ELIGIBLE</v>
      </c>
      <c r="N85" s="9" t="str" cm="1">
        <f t="array" ref="N85">_xlfn.IFS(I85&gt;=95%,"EXCELLENT",I85&gt;=85%,"VERY GOOD",I85&gt;=75%,"GOOD",I85&gt;=65%,"IMPROVEMENT",I85&gt;=40%,"POOR",I85&gt;=0%,"WORST")</f>
        <v>GOOD</v>
      </c>
    </row>
    <row r="86" spans="1:14" ht="20.25" customHeight="1">
      <c r="A86" s="9" t="s">
        <v>70</v>
      </c>
      <c r="B86" s="9" t="s">
        <v>71</v>
      </c>
      <c r="C86" s="9" t="s">
        <v>18</v>
      </c>
      <c r="D86" s="9" t="s">
        <v>12</v>
      </c>
      <c r="E86" s="9">
        <v>49</v>
      </c>
      <c r="F86" s="9">
        <v>58</v>
      </c>
      <c r="G86" s="9">
        <v>52</v>
      </c>
      <c r="H86" s="9">
        <v>60</v>
      </c>
      <c r="I86" s="11">
        <v>0.75</v>
      </c>
      <c r="J86" s="9">
        <f>SUM(E86:H86)</f>
        <v>219</v>
      </c>
      <c r="K86" s="11">
        <f>J86/400</f>
        <v>0.54749999999999999</v>
      </c>
      <c r="L86" s="9" t="str">
        <f>IF(MIN(E86:H86)&gt;=40,"PASS","FAIL")</f>
        <v>PASS</v>
      </c>
      <c r="M86" s="9" t="str">
        <f>IF(I86&gt;=75%,"ELIGIBLE","NOT ELIGIBLE")</f>
        <v>ELIGIBLE</v>
      </c>
      <c r="N86" s="9" t="str" cm="1">
        <f t="array" ref="N86">_xlfn.IFS(I86&gt;=95%,"EXCELLENT",I86&gt;=85%,"VERY GOOD",I86&gt;=75%,"GOOD",I86&gt;=65%,"IMPROVEMENT",I86&gt;=40%,"POOR",I86&gt;=0%,"WORST")</f>
        <v>GOOD</v>
      </c>
    </row>
    <row r="87" spans="1:14" ht="20.25" customHeight="1">
      <c r="A87" s="9" t="s">
        <v>78</v>
      </c>
      <c r="B87" s="9" t="s">
        <v>79</v>
      </c>
      <c r="C87" s="9" t="s">
        <v>11</v>
      </c>
      <c r="D87" s="9" t="s">
        <v>12</v>
      </c>
      <c r="E87" s="9">
        <v>52</v>
      </c>
      <c r="F87" s="9">
        <v>47</v>
      </c>
      <c r="G87" s="9">
        <v>54</v>
      </c>
      <c r="H87" s="9">
        <v>62</v>
      </c>
      <c r="I87" s="11">
        <v>0.77</v>
      </c>
      <c r="J87" s="9">
        <f>SUM(E87:H87)</f>
        <v>215</v>
      </c>
      <c r="K87" s="11">
        <f>J87/400</f>
        <v>0.53749999999999998</v>
      </c>
      <c r="L87" s="9" t="str">
        <f>IF(MIN(E87:H87)&gt;=40,"PASS","FAIL")</f>
        <v>PASS</v>
      </c>
      <c r="M87" s="9" t="str">
        <f>IF(I87&gt;=75%,"ELIGIBLE","NOT ELIGIBLE")</f>
        <v>ELIGIBLE</v>
      </c>
      <c r="N87" s="9" t="str" cm="1">
        <f t="array" ref="N87">_xlfn.IFS(I87&gt;=95%,"EXCELLENT",I87&gt;=85%,"VERY GOOD",I87&gt;=75%,"GOOD",I87&gt;=65%,"IMPROVEMENT",I87&gt;=40%,"POOR",I87&gt;=0%,"WORST")</f>
        <v>GOOD</v>
      </c>
    </row>
    <row r="88" spans="1:14" ht="20.25" customHeight="1">
      <c r="A88" s="9" t="s">
        <v>122</v>
      </c>
      <c r="B88" s="9" t="s">
        <v>123</v>
      </c>
      <c r="C88" s="9" t="s">
        <v>21</v>
      </c>
      <c r="D88" s="9" t="s">
        <v>12</v>
      </c>
      <c r="E88" s="9">
        <v>48</v>
      </c>
      <c r="F88" s="9">
        <v>55</v>
      </c>
      <c r="G88" s="9">
        <v>51</v>
      </c>
      <c r="H88" s="9">
        <v>59</v>
      </c>
      <c r="I88" s="11">
        <v>0.74</v>
      </c>
      <c r="J88" s="9">
        <f>SUM(E88:H88)</f>
        <v>213</v>
      </c>
      <c r="K88" s="11">
        <f>J88/400</f>
        <v>0.53249999999999997</v>
      </c>
      <c r="L88" s="9" t="str">
        <f>IF(MIN(E88:H88)&gt;=40,"PASS","FAIL")</f>
        <v>PASS</v>
      </c>
      <c r="M88" s="9" t="str">
        <f>IF(I88&gt;=75%,"ELIGIBLE","NOT ELIGIBLE")</f>
        <v>NOT ELIGIBLE</v>
      </c>
      <c r="N88" s="9" t="str" cm="1">
        <f t="array" ref="N88">_xlfn.IFS(I88&gt;=95%,"EXCELLENT",I88&gt;=85%,"VERY GOOD",I88&gt;=75%,"GOOD",I88&gt;=65%,"IMPROVEMENT",I88&gt;=40%,"POOR",I88&gt;=0%,"WORST")</f>
        <v>IMPROVEMENT</v>
      </c>
    </row>
    <row r="89" spans="1:14" ht="20.25" customHeight="1">
      <c r="A89" s="9" t="s">
        <v>16</v>
      </c>
      <c r="B89" s="9" t="s">
        <v>17</v>
      </c>
      <c r="C89" s="9" t="s">
        <v>18</v>
      </c>
      <c r="D89" s="9" t="s">
        <v>12</v>
      </c>
      <c r="E89" s="9">
        <v>42</v>
      </c>
      <c r="F89" s="9">
        <v>55</v>
      </c>
      <c r="G89" s="9">
        <v>48</v>
      </c>
      <c r="H89" s="9">
        <v>61</v>
      </c>
      <c r="I89" s="11">
        <v>0.74</v>
      </c>
      <c r="J89" s="9">
        <f>SUM(E89:H89)</f>
        <v>206</v>
      </c>
      <c r="K89" s="11">
        <f>J89/400</f>
        <v>0.51500000000000001</v>
      </c>
      <c r="L89" s="9" t="str">
        <f>IF(MIN(E89:H89)&gt;=40,"PASS","FAIL")</f>
        <v>PASS</v>
      </c>
      <c r="M89" s="9" t="str">
        <f>IF(I89&gt;=75%,"ELIGIBLE","NOT ELIGIBLE")</f>
        <v>NOT ELIGIBLE</v>
      </c>
      <c r="N89" s="9" t="str" cm="1">
        <f t="array" ref="N89">_xlfn.IFS(I89&gt;=95%,"EXCELLENT",I89&gt;=85%,"VERY GOOD",I89&gt;=75%,"GOOD",I89&gt;=65%,"IMPROVEMENT",I89&gt;=40%,"POOR",I89&gt;=0%,"WORST")</f>
        <v>IMPROVEMENT</v>
      </c>
    </row>
    <row r="90" spans="1:14" ht="20.25" customHeight="1">
      <c r="A90" s="9" t="s">
        <v>98</v>
      </c>
      <c r="B90" s="9" t="s">
        <v>99</v>
      </c>
      <c r="C90" s="9" t="s">
        <v>21</v>
      </c>
      <c r="D90" s="9" t="s">
        <v>12</v>
      </c>
      <c r="E90" s="9">
        <v>46</v>
      </c>
      <c r="F90" s="9">
        <v>53</v>
      </c>
      <c r="G90" s="9">
        <v>49</v>
      </c>
      <c r="H90" s="9">
        <v>57</v>
      </c>
      <c r="I90" s="11">
        <v>0.7</v>
      </c>
      <c r="J90" s="9">
        <f>SUM(E90:H90)</f>
        <v>205</v>
      </c>
      <c r="K90" s="11">
        <f>J90/400</f>
        <v>0.51249999999999996</v>
      </c>
      <c r="L90" s="9" t="str">
        <f>IF(MIN(E90:H90)&gt;=40,"PASS","FAIL")</f>
        <v>PASS</v>
      </c>
      <c r="M90" s="9" t="str">
        <f>IF(I90&gt;=75%,"ELIGIBLE","NOT ELIGIBLE")</f>
        <v>NOT ELIGIBLE</v>
      </c>
      <c r="N90" s="9" t="str" cm="1">
        <f t="array" ref="N90">_xlfn.IFS(I90&gt;=95%,"EXCELLENT",I90&gt;=85%,"VERY GOOD",I90&gt;=75%,"GOOD",I90&gt;=65%,"IMPROVEMENT",I90&gt;=40%,"POOR",I90&gt;=0%,"WORST")</f>
        <v>IMPROVEMENT</v>
      </c>
    </row>
    <row r="91" spans="1:14" ht="20.25" customHeight="1">
      <c r="A91" s="9" t="s">
        <v>186</v>
      </c>
      <c r="B91" s="9" t="s">
        <v>187</v>
      </c>
      <c r="C91" s="9" t="s">
        <v>11</v>
      </c>
      <c r="D91" s="9" t="s">
        <v>12</v>
      </c>
      <c r="E91" s="9">
        <v>46</v>
      </c>
      <c r="F91" s="9">
        <v>52</v>
      </c>
      <c r="G91" s="9">
        <v>48</v>
      </c>
      <c r="H91" s="9">
        <v>57</v>
      </c>
      <c r="I91" s="11">
        <v>0.73</v>
      </c>
      <c r="J91" s="9">
        <f>SUM(E91:H91)</f>
        <v>203</v>
      </c>
      <c r="K91" s="11">
        <f>J91/400</f>
        <v>0.50749999999999995</v>
      </c>
      <c r="L91" s="9" t="str">
        <f>IF(MIN(E91:H91)&gt;=40,"PASS","FAIL")</f>
        <v>PASS</v>
      </c>
      <c r="M91" s="9" t="str">
        <f>IF(I91&gt;=75%,"ELIGIBLE","NOT ELIGIBLE")</f>
        <v>NOT ELIGIBLE</v>
      </c>
      <c r="N91" s="9" t="str" cm="1">
        <f t="array" ref="N91">_xlfn.IFS(I91&gt;=95%,"EXCELLENT",I91&gt;=85%,"VERY GOOD",I91&gt;=75%,"GOOD",I91&gt;=65%,"IMPROVEMENT",I91&gt;=40%,"POOR",I91&gt;=0%,"WORST")</f>
        <v>IMPROVEMENT</v>
      </c>
    </row>
    <row r="92" spans="1:14" ht="20.25" customHeight="1">
      <c r="A92" s="9" t="s">
        <v>38</v>
      </c>
      <c r="B92" s="9" t="s">
        <v>39</v>
      </c>
      <c r="C92" s="9" t="s">
        <v>21</v>
      </c>
      <c r="D92" s="9" t="s">
        <v>12</v>
      </c>
      <c r="E92" s="9">
        <v>47</v>
      </c>
      <c r="F92" s="9">
        <v>52</v>
      </c>
      <c r="G92" s="9">
        <v>44</v>
      </c>
      <c r="H92" s="9">
        <v>58</v>
      </c>
      <c r="I92" s="11">
        <v>0.72</v>
      </c>
      <c r="J92" s="9">
        <f>SUM(E92:H92)</f>
        <v>201</v>
      </c>
      <c r="K92" s="11">
        <f>J92/400</f>
        <v>0.50249999999999995</v>
      </c>
      <c r="L92" s="9" t="str">
        <f>IF(MIN(E92:H92)&gt;=40,"PASS","FAIL")</f>
        <v>PASS</v>
      </c>
      <c r="M92" s="9" t="str">
        <f>IF(I92&gt;=75%,"ELIGIBLE","NOT ELIGIBLE")</f>
        <v>NOT ELIGIBLE</v>
      </c>
      <c r="N92" s="9" t="str" cm="1">
        <f t="array" ref="N92">_xlfn.IFS(I92&gt;=95%,"EXCELLENT",I92&gt;=85%,"VERY GOOD",I92&gt;=75%,"GOOD",I92&gt;=65%,"IMPROVEMENT",I92&gt;=40%,"POOR",I92&gt;=0%,"WORST")</f>
        <v>IMPROVEMENT</v>
      </c>
    </row>
    <row r="93" spans="1:14" ht="20.25" customHeight="1">
      <c r="A93" s="9" t="s">
        <v>138</v>
      </c>
      <c r="B93" s="9" t="s">
        <v>139</v>
      </c>
      <c r="C93" s="9" t="s">
        <v>11</v>
      </c>
      <c r="D93" s="9" t="s">
        <v>12</v>
      </c>
      <c r="E93" s="9">
        <v>45</v>
      </c>
      <c r="F93" s="9">
        <v>50</v>
      </c>
      <c r="G93" s="9">
        <v>47</v>
      </c>
      <c r="H93" s="9">
        <v>56</v>
      </c>
      <c r="I93" s="11">
        <v>0.72</v>
      </c>
      <c r="J93" s="9">
        <f>SUM(E93:H93)</f>
        <v>198</v>
      </c>
      <c r="K93" s="11">
        <f>J93/400</f>
        <v>0.495</v>
      </c>
      <c r="L93" s="9" t="str">
        <f>IF(MIN(E93:H93)&gt;=40,"PASS","FAIL")</f>
        <v>PASS</v>
      </c>
      <c r="M93" s="9" t="str">
        <f>IF(I93&gt;=75%,"ELIGIBLE","NOT ELIGIBLE")</f>
        <v>NOT ELIGIBLE</v>
      </c>
      <c r="N93" s="9" t="str" cm="1">
        <f t="array" ref="N93">_xlfn.IFS(I93&gt;=95%,"EXCELLENT",I93&gt;=85%,"VERY GOOD",I93&gt;=75%,"GOOD",I93&gt;=65%,"IMPROVEMENT",I93&gt;=40%,"POOR",I93&gt;=0%,"WORST")</f>
        <v>IMPROVEMENT</v>
      </c>
    </row>
    <row r="94" spans="1:14" ht="20.25" customHeight="1">
      <c r="A94" s="9" t="s">
        <v>62</v>
      </c>
      <c r="B94" s="9" t="s">
        <v>63</v>
      </c>
      <c r="C94" s="9" t="s">
        <v>21</v>
      </c>
      <c r="D94" s="9" t="s">
        <v>12</v>
      </c>
      <c r="E94" s="9">
        <v>44</v>
      </c>
      <c r="F94" s="9">
        <v>51</v>
      </c>
      <c r="G94" s="9">
        <v>46</v>
      </c>
      <c r="H94" s="9">
        <v>55</v>
      </c>
      <c r="I94" s="11">
        <v>0.73</v>
      </c>
      <c r="J94" s="9">
        <f>SUM(E94:H94)</f>
        <v>196</v>
      </c>
      <c r="K94" s="11">
        <f>J94/400</f>
        <v>0.49</v>
      </c>
      <c r="L94" s="9" t="str">
        <f>IF(MIN(E94:H94)&gt;=40,"PASS","FAIL")</f>
        <v>PASS</v>
      </c>
      <c r="M94" s="9" t="str">
        <f>IF(I94&gt;=75%,"ELIGIBLE","NOT ELIGIBLE")</f>
        <v>NOT ELIGIBLE</v>
      </c>
      <c r="N94" s="9" t="str" cm="1">
        <f t="array" ref="N94">_xlfn.IFS(I94&gt;=95%,"EXCELLENT",I94&gt;=85%,"VERY GOOD",I94&gt;=75%,"GOOD",I94&gt;=65%,"IMPROVEMENT",I94&gt;=40%,"POOR",I94&gt;=0%,"WORST")</f>
        <v>IMPROVEMENT</v>
      </c>
    </row>
    <row r="95" spans="1:14" ht="20.25" customHeight="1">
      <c r="A95" s="9" t="s">
        <v>170</v>
      </c>
      <c r="B95" s="9" t="s">
        <v>171</v>
      </c>
      <c r="C95" s="9" t="s">
        <v>21</v>
      </c>
      <c r="D95" s="9" t="s">
        <v>12</v>
      </c>
      <c r="E95" s="9">
        <v>43</v>
      </c>
      <c r="F95" s="9">
        <v>49</v>
      </c>
      <c r="G95" s="9">
        <v>45</v>
      </c>
      <c r="H95" s="9">
        <v>54</v>
      </c>
      <c r="I95" s="11">
        <v>0.7</v>
      </c>
      <c r="J95" s="9">
        <f>SUM(E95:H95)</f>
        <v>191</v>
      </c>
      <c r="K95" s="11">
        <f>J95/400</f>
        <v>0.47749999999999998</v>
      </c>
      <c r="L95" s="9" t="str">
        <f>IF(MIN(E95:H95)&gt;=40,"PASS","FAIL")</f>
        <v>PASS</v>
      </c>
      <c r="M95" s="9" t="str">
        <f>IF(I95&gt;=75%,"ELIGIBLE","NOT ELIGIBLE")</f>
        <v>NOT ELIGIBLE</v>
      </c>
      <c r="N95" s="9" t="str" cm="1">
        <f t="array" ref="N95">_xlfn.IFS(I95&gt;=95%,"EXCELLENT",I95&gt;=85%,"VERY GOOD",I95&gt;=75%,"GOOD",I95&gt;=65%,"IMPROVEMENT",I95&gt;=40%,"POOR",I95&gt;=0%,"WORST")</f>
        <v>IMPROVEMENT</v>
      </c>
    </row>
    <row r="96" spans="1:14" ht="20.25" customHeight="1">
      <c r="A96" s="9" t="s">
        <v>86</v>
      </c>
      <c r="B96" s="9" t="s">
        <v>87</v>
      </c>
      <c r="C96" s="9" t="s">
        <v>21</v>
      </c>
      <c r="D96" s="9" t="s">
        <v>12</v>
      </c>
      <c r="E96" s="9">
        <v>41</v>
      </c>
      <c r="F96" s="9">
        <v>48</v>
      </c>
      <c r="G96" s="9">
        <v>45</v>
      </c>
      <c r="H96" s="9">
        <v>53</v>
      </c>
      <c r="I96" s="11">
        <v>0.71</v>
      </c>
      <c r="J96" s="9">
        <f>SUM(E96:H96)</f>
        <v>187</v>
      </c>
      <c r="K96" s="11">
        <f>J96/400</f>
        <v>0.46750000000000003</v>
      </c>
      <c r="L96" s="9" t="str">
        <f>IF(MIN(E96:H96)&gt;=40,"PASS","FAIL")</f>
        <v>PASS</v>
      </c>
      <c r="M96" s="9" t="str">
        <f>IF(I96&gt;=75%,"ELIGIBLE","NOT ELIGIBLE")</f>
        <v>NOT ELIGIBLE</v>
      </c>
      <c r="N96" s="9" t="str" cm="1">
        <f t="array" ref="N96">_xlfn.IFS(I96&gt;=95%,"EXCELLENT",I96&gt;=85%,"VERY GOOD",I96&gt;=75%,"GOOD",I96&gt;=65%,"IMPROVEMENT",I96&gt;=40%,"POOR",I96&gt;=0%,"WORST")</f>
        <v>IMPROVEMENT</v>
      </c>
    </row>
    <row r="97" spans="1:14" ht="20.25" customHeight="1">
      <c r="A97" s="9" t="s">
        <v>154</v>
      </c>
      <c r="B97" s="9" t="s">
        <v>155</v>
      </c>
      <c r="C97" s="9" t="s">
        <v>18</v>
      </c>
      <c r="D97" s="9" t="s">
        <v>12</v>
      </c>
      <c r="E97" s="9">
        <v>39</v>
      </c>
      <c r="F97" s="9">
        <v>46</v>
      </c>
      <c r="G97" s="9">
        <v>42</v>
      </c>
      <c r="H97" s="9">
        <v>51</v>
      </c>
      <c r="I97" s="11">
        <v>0.68</v>
      </c>
      <c r="J97" s="9">
        <f>SUM(E97:H97)</f>
        <v>178</v>
      </c>
      <c r="K97" s="11">
        <f>J97/400</f>
        <v>0.44500000000000001</v>
      </c>
      <c r="L97" s="9" t="str">
        <f>IF(MIN(E97:H97)&gt;=40,"PASS","FAIL")</f>
        <v>FAIL</v>
      </c>
      <c r="M97" s="9" t="str">
        <f>IF(I97&gt;=75%,"ELIGIBLE","NOT ELIGIBLE")</f>
        <v>NOT ELIGIBLE</v>
      </c>
      <c r="N97" s="9" t="str" cm="1">
        <f t="array" ref="N97">_xlfn.IFS(I97&gt;=95%,"EXCELLENT",I97&gt;=85%,"VERY GOOD",I97&gt;=75%,"GOOD",I97&gt;=65%,"IMPROVEMENT",I97&gt;=40%,"POOR",I97&gt;=0%,"WORST")</f>
        <v>IMPROVEMENT</v>
      </c>
    </row>
    <row r="98" spans="1:14" ht="20.25" customHeight="1">
      <c r="A98" s="9" t="s">
        <v>26</v>
      </c>
      <c r="B98" s="9" t="s">
        <v>27</v>
      </c>
      <c r="C98" s="9" t="s">
        <v>21</v>
      </c>
      <c r="D98" s="9" t="s">
        <v>12</v>
      </c>
      <c r="E98" s="9">
        <v>38</v>
      </c>
      <c r="F98" s="9">
        <v>45</v>
      </c>
      <c r="G98" s="9">
        <v>41</v>
      </c>
      <c r="H98" s="9">
        <v>52</v>
      </c>
      <c r="I98" s="11">
        <v>0.69</v>
      </c>
      <c r="J98" s="9">
        <f>SUM(E98:H98)</f>
        <v>176</v>
      </c>
      <c r="K98" s="11">
        <f>J98/400</f>
        <v>0.44</v>
      </c>
      <c r="L98" s="9" t="str">
        <f>IF(MIN(E98:H98)&gt;=40,"PASS","FAIL")</f>
        <v>FAIL</v>
      </c>
      <c r="M98" s="9" t="str">
        <f>IF(I98&gt;=75%,"ELIGIBLE","NOT ELIGIBLE")</f>
        <v>NOT ELIGIBLE</v>
      </c>
      <c r="N98" s="9" t="str" cm="1">
        <f t="array" ref="N98">_xlfn.IFS(I98&gt;=95%,"EXCELLENT",I98&gt;=85%,"VERY GOOD",I98&gt;=75%,"GOOD",I98&gt;=65%,"IMPROVEMENT",I98&gt;=40%,"POOR",I98&gt;=0%,"WORST")</f>
        <v>IMPROVEMENT</v>
      </c>
    </row>
    <row r="99" spans="1:14" ht="20.25" customHeight="1">
      <c r="A99" s="9" t="s">
        <v>202</v>
      </c>
      <c r="B99" s="9" t="s">
        <v>203</v>
      </c>
      <c r="C99" s="9" t="s">
        <v>18</v>
      </c>
      <c r="D99" s="9" t="s">
        <v>12</v>
      </c>
      <c r="E99" s="9">
        <v>37</v>
      </c>
      <c r="F99" s="9">
        <v>44</v>
      </c>
      <c r="G99" s="9">
        <v>41</v>
      </c>
      <c r="H99" s="9">
        <v>50</v>
      </c>
      <c r="I99" s="11">
        <v>0.67</v>
      </c>
      <c r="J99" s="9">
        <f>SUM(E99:H99)</f>
        <v>172</v>
      </c>
      <c r="K99" s="11">
        <f>J99/400</f>
        <v>0.43</v>
      </c>
      <c r="L99" s="9" t="str">
        <f>IF(MIN(E99:H99)&gt;=40,"PASS","FAIL")</f>
        <v>FAIL</v>
      </c>
      <c r="M99" s="9" t="str">
        <f>IF(I99&gt;=75%,"ELIGIBLE","NOT ELIGIBLE")</f>
        <v>NOT ELIGIBLE</v>
      </c>
      <c r="N99" s="9" t="str" cm="1">
        <f t="array" ref="N99">_xlfn.IFS(I99&gt;=95%,"EXCELLENT",I99&gt;=85%,"VERY GOOD",I99&gt;=75%,"GOOD",I99&gt;=65%,"IMPROVEMENT",I99&gt;=40%,"POOR",I99&gt;=0%,"WORST")</f>
        <v>IMPROVEMENT</v>
      </c>
    </row>
    <row r="100" spans="1:14" ht="20.25" customHeight="1">
      <c r="A100" s="9" t="s">
        <v>50</v>
      </c>
      <c r="B100" s="9" t="s">
        <v>51</v>
      </c>
      <c r="C100" s="9" t="s">
        <v>21</v>
      </c>
      <c r="D100" s="9" t="s">
        <v>12</v>
      </c>
      <c r="E100" s="9">
        <v>35</v>
      </c>
      <c r="F100" s="9">
        <v>42</v>
      </c>
      <c r="G100" s="9">
        <v>39</v>
      </c>
      <c r="H100" s="9">
        <v>48</v>
      </c>
      <c r="I100" s="11">
        <v>0.65</v>
      </c>
      <c r="J100" s="9">
        <f>SUM(E100:H100)</f>
        <v>164</v>
      </c>
      <c r="K100" s="11">
        <f>J100/400</f>
        <v>0.41</v>
      </c>
      <c r="L100" s="9" t="str">
        <f>IF(MIN(E100:H100)&gt;=40,"PASS","FAIL")</f>
        <v>FAIL</v>
      </c>
      <c r="M100" s="9" t="str">
        <f>IF(I100&gt;=75%,"ELIGIBLE","NOT ELIGIBLE")</f>
        <v>NOT ELIGIBLE</v>
      </c>
      <c r="N100" s="9" t="str" cm="1">
        <f t="array" ref="N100">_xlfn.IFS(I100&gt;=95%,"EXCELLENT",I100&gt;=85%,"VERY GOOD",I100&gt;=75%,"GOOD",I100&gt;=65%,"IMPROVEMENT",I100&gt;=40%,"POOR",I100&gt;=0%,"WORST")</f>
        <v>IMPROVEMENT</v>
      </c>
    </row>
    <row r="101" spans="1:14" ht="20.25" customHeight="1">
      <c r="A101" s="9" t="s">
        <v>106</v>
      </c>
      <c r="B101" s="9" t="s">
        <v>107</v>
      </c>
      <c r="C101" s="9" t="s">
        <v>18</v>
      </c>
      <c r="D101" s="9" t="s">
        <v>12</v>
      </c>
      <c r="E101" s="9">
        <v>32</v>
      </c>
      <c r="F101" s="9">
        <v>39</v>
      </c>
      <c r="G101" s="9">
        <v>44</v>
      </c>
      <c r="H101" s="9">
        <v>47</v>
      </c>
      <c r="I101" s="11">
        <v>0.64</v>
      </c>
      <c r="J101" s="9">
        <f>SUM(E101:H101)</f>
        <v>162</v>
      </c>
      <c r="K101" s="11">
        <f>J101/400</f>
        <v>0.40500000000000003</v>
      </c>
      <c r="L101" s="9" t="str">
        <f>IF(MIN(E101:H101)&gt;=40,"PASS","FAIL")</f>
        <v>FAIL</v>
      </c>
      <c r="M101" s="9" t="str">
        <f>IF(I101&gt;=75%,"ELIGIBLE","NOT ELIGIBLE")</f>
        <v>NOT ELIGIBLE</v>
      </c>
      <c r="N101" s="9" t="str" cm="1">
        <f t="array" ref="N101">_xlfn.IFS(I101&gt;=95%,"EXCELLENT",I101&gt;=85%,"VERY GOOD",I101&gt;=75%,"GOOD",I101&gt;=65%,"IMPROVEMENT",I101&gt;=40%,"POOR",I101&gt;=0%,"WORST")</f>
        <v>POOR</v>
      </c>
    </row>
  </sheetData>
  <sortState xmlns:xlrd2="http://schemas.microsoft.com/office/spreadsheetml/2017/richdata2" ref="A2:N101">
    <sortCondition descending="1" ref="K2:K101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B3C60-57DA-479E-8211-B96BDE4EDE71}">
  <sheetPr filterMode="1"/>
  <dimension ref="A1:N101"/>
  <sheetViews>
    <sheetView topLeftCell="H1" workbookViewId="0">
      <selection activeCell="L106" sqref="L106"/>
    </sheetView>
  </sheetViews>
  <sheetFormatPr defaultRowHeight="15"/>
  <cols>
    <col min="1" max="9" width="28.7109375" style="9" customWidth="1"/>
    <col min="10" max="14" width="28.7109375" style="10" customWidth="1"/>
  </cols>
  <sheetData>
    <row r="1" spans="1:14" ht="30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214</v>
      </c>
      <c r="K1" s="4" t="s">
        <v>216</v>
      </c>
      <c r="L1" s="4" t="s">
        <v>219</v>
      </c>
      <c r="M1" s="4" t="s">
        <v>220</v>
      </c>
      <c r="N1" s="4" t="s">
        <v>221</v>
      </c>
    </row>
    <row r="2" spans="1:14" ht="20.25" hidden="1" customHeight="1">
      <c r="A2" s="9" t="s">
        <v>9</v>
      </c>
      <c r="B2" s="9" t="s">
        <v>10</v>
      </c>
      <c r="C2" s="9" t="s">
        <v>11</v>
      </c>
      <c r="D2" s="9" t="s">
        <v>12</v>
      </c>
      <c r="E2" s="9">
        <v>78</v>
      </c>
      <c r="F2" s="9">
        <v>85</v>
      </c>
      <c r="G2" s="9">
        <v>72</v>
      </c>
      <c r="H2" s="9">
        <v>90</v>
      </c>
      <c r="I2" s="11">
        <v>0.92</v>
      </c>
      <c r="J2" s="9">
        <f>SUM(E2:H2)</f>
        <v>325</v>
      </c>
      <c r="K2" s="11">
        <f>J2/400</f>
        <v>0.8125</v>
      </c>
      <c r="L2" s="9" t="str">
        <f>IF(MIN(E2:H2)&gt;=40,"PASS","FAIL")</f>
        <v>PASS</v>
      </c>
      <c r="M2" s="9" t="str">
        <f>IF(I2&gt;=75%,"ELIGIBLE","NOT ELIGIBLE")</f>
        <v>ELIGIBLE</v>
      </c>
      <c r="N2" s="9" t="str" cm="1">
        <f t="array" ref="N2">_xlfn.IFS(I2&gt;=95%,"EXCELLENT",I2&gt;=85%,"VERY GOOD",I2&gt;=75%,"GOOD",I2&gt;=65%,"IMPROVEMENT",I2&gt;=40%,"POOR",I2&gt;=0%,"WORST")</f>
        <v>VERY GOOD</v>
      </c>
    </row>
    <row r="3" spans="1:14" ht="20.25" hidden="1" customHeight="1">
      <c r="A3" s="9" t="s">
        <v>13</v>
      </c>
      <c r="B3" s="9" t="s">
        <v>14</v>
      </c>
      <c r="C3" s="9" t="s">
        <v>11</v>
      </c>
      <c r="D3" s="9" t="s">
        <v>15</v>
      </c>
      <c r="E3" s="9">
        <v>65</v>
      </c>
      <c r="F3" s="9">
        <v>71</v>
      </c>
      <c r="G3" s="9">
        <v>68</v>
      </c>
      <c r="H3" s="9">
        <v>75</v>
      </c>
      <c r="I3" s="11">
        <v>0.87</v>
      </c>
      <c r="J3" s="9">
        <f t="shared" ref="J3:J66" si="0">SUM(E3:H3)</f>
        <v>279</v>
      </c>
      <c r="K3" s="11">
        <f t="shared" ref="K3:K66" si="1">J3/400</f>
        <v>0.69750000000000001</v>
      </c>
      <c r="L3" s="9" t="str">
        <f t="shared" ref="L3:L66" si="2">IF(MIN(E3:H3)&gt;=40,"PASS","FAIL")</f>
        <v>PASS</v>
      </c>
      <c r="M3" s="9" t="str">
        <f t="shared" ref="M3:M66" si="3">IF(I3&gt;=75%,"ELIGIBLE","NOT ELIGIBLE")</f>
        <v>ELIGIBLE</v>
      </c>
      <c r="N3" s="9" t="str" cm="1">
        <f t="array" ref="N3">_xlfn.IFS(I3&gt;=95%,"EXCELLENT",I3&gt;=85%,"VERY GOOD",I3&gt;=75%,"GOOD",I3&gt;=65%,"IMPROVEMENT",I3&gt;=40%,"POOR",I3&gt;=0%,"WORST")</f>
        <v>VERY GOOD</v>
      </c>
    </row>
    <row r="4" spans="1:14" ht="20.25" hidden="1" customHeight="1">
      <c r="A4" s="9" t="s">
        <v>16</v>
      </c>
      <c r="B4" s="9" t="s">
        <v>17</v>
      </c>
      <c r="C4" s="9" t="s">
        <v>18</v>
      </c>
      <c r="D4" s="9" t="s">
        <v>12</v>
      </c>
      <c r="E4" s="9">
        <v>42</v>
      </c>
      <c r="F4" s="9">
        <v>55</v>
      </c>
      <c r="G4" s="9">
        <v>48</v>
      </c>
      <c r="H4" s="9">
        <v>61</v>
      </c>
      <c r="I4" s="11">
        <v>0.74</v>
      </c>
      <c r="J4" s="9">
        <f t="shared" si="0"/>
        <v>206</v>
      </c>
      <c r="K4" s="11">
        <f t="shared" si="1"/>
        <v>0.51500000000000001</v>
      </c>
      <c r="L4" s="9" t="str">
        <f t="shared" si="2"/>
        <v>PASS</v>
      </c>
      <c r="M4" s="9" t="str">
        <f t="shared" si="3"/>
        <v>NOT ELIGIBLE</v>
      </c>
      <c r="N4" s="9" t="str" cm="1">
        <f t="array" ref="N4">_xlfn.IFS(I4&gt;=95%,"EXCELLENT",I4&gt;=85%,"VERY GOOD",I4&gt;=75%,"GOOD",I4&gt;=65%,"IMPROVEMENT",I4&gt;=40%,"POOR",I4&gt;=0%,"WORST")</f>
        <v>IMPROVEMENT</v>
      </c>
    </row>
    <row r="5" spans="1:14" ht="20.25" hidden="1" customHeight="1">
      <c r="A5" s="9" t="s">
        <v>19</v>
      </c>
      <c r="B5" s="9" t="s">
        <v>20</v>
      </c>
      <c r="C5" s="9" t="s">
        <v>21</v>
      </c>
      <c r="D5" s="9" t="s">
        <v>15</v>
      </c>
      <c r="E5" s="9">
        <v>91</v>
      </c>
      <c r="F5" s="9">
        <v>88</v>
      </c>
      <c r="G5" s="9">
        <v>94</v>
      </c>
      <c r="H5" s="9">
        <v>96</v>
      </c>
      <c r="I5" s="11">
        <v>0.98</v>
      </c>
      <c r="J5" s="9">
        <f t="shared" si="0"/>
        <v>369</v>
      </c>
      <c r="K5" s="11">
        <f t="shared" si="1"/>
        <v>0.92249999999999999</v>
      </c>
      <c r="L5" s="9" t="str">
        <f t="shared" si="2"/>
        <v>PASS</v>
      </c>
      <c r="M5" s="9" t="str">
        <f t="shared" si="3"/>
        <v>ELIGIBLE</v>
      </c>
      <c r="N5" s="9" t="str" cm="1">
        <f t="array" ref="N5">_xlfn.IFS(I5&gt;=95%,"EXCELLENT",I5&gt;=85%,"VERY GOOD",I5&gt;=75%,"GOOD",I5&gt;=65%,"IMPROVEMENT",I5&gt;=40%,"POOR",I5&gt;=0%,"WORST")</f>
        <v>EXCELLENT</v>
      </c>
    </row>
    <row r="6" spans="1:14" ht="20.25" hidden="1" customHeight="1">
      <c r="A6" s="9" t="s">
        <v>22</v>
      </c>
      <c r="B6" s="9" t="s">
        <v>23</v>
      </c>
      <c r="C6" s="9" t="s">
        <v>18</v>
      </c>
      <c r="D6" s="9" t="s">
        <v>12</v>
      </c>
      <c r="E6" s="9">
        <v>56</v>
      </c>
      <c r="F6" s="9">
        <v>63</v>
      </c>
      <c r="G6" s="9">
        <v>59</v>
      </c>
      <c r="H6" s="9">
        <v>70</v>
      </c>
      <c r="I6" s="11">
        <v>0.81</v>
      </c>
      <c r="J6" s="9">
        <f t="shared" si="0"/>
        <v>248</v>
      </c>
      <c r="K6" s="11">
        <f t="shared" si="1"/>
        <v>0.62</v>
      </c>
      <c r="L6" s="9" t="str">
        <f t="shared" si="2"/>
        <v>PASS</v>
      </c>
      <c r="M6" s="9" t="str">
        <f t="shared" si="3"/>
        <v>ELIGIBLE</v>
      </c>
      <c r="N6" s="9" t="str" cm="1">
        <f t="array" ref="N6">_xlfn.IFS(I6&gt;=95%,"EXCELLENT",I6&gt;=85%,"VERY GOOD",I6&gt;=75%,"GOOD",I6&gt;=65%,"IMPROVEMENT",I6&gt;=40%,"POOR",I6&gt;=0%,"WORST")</f>
        <v>GOOD</v>
      </c>
    </row>
    <row r="7" spans="1:14" ht="20.25" hidden="1" customHeight="1">
      <c r="A7" s="9" t="s">
        <v>24</v>
      </c>
      <c r="B7" s="9" t="s">
        <v>25</v>
      </c>
      <c r="C7" s="9" t="s">
        <v>11</v>
      </c>
      <c r="D7" s="9" t="s">
        <v>15</v>
      </c>
      <c r="E7" s="9">
        <v>84</v>
      </c>
      <c r="F7" s="9">
        <v>79</v>
      </c>
      <c r="G7" s="9">
        <v>88</v>
      </c>
      <c r="H7" s="9">
        <v>91</v>
      </c>
      <c r="I7" s="11">
        <v>0.95</v>
      </c>
      <c r="J7" s="9">
        <f t="shared" si="0"/>
        <v>342</v>
      </c>
      <c r="K7" s="11">
        <f t="shared" si="1"/>
        <v>0.85499999999999998</v>
      </c>
      <c r="L7" s="9" t="str">
        <f t="shared" si="2"/>
        <v>PASS</v>
      </c>
      <c r="M7" s="9" t="str">
        <f t="shared" si="3"/>
        <v>ELIGIBLE</v>
      </c>
      <c r="N7" s="9" t="str" cm="1">
        <f t="array" ref="N7">_xlfn.IFS(I7&gt;=95%,"EXCELLENT",I7&gt;=85%,"VERY GOOD",I7&gt;=75%,"GOOD",I7&gt;=65%,"IMPROVEMENT",I7&gt;=40%,"POOR",I7&gt;=0%,"WORST")</f>
        <v>EXCELLENT</v>
      </c>
    </row>
    <row r="8" spans="1:14" ht="20.25" customHeight="1">
      <c r="A8" s="9" t="s">
        <v>26</v>
      </c>
      <c r="B8" s="9" t="s">
        <v>27</v>
      </c>
      <c r="C8" s="9" t="s">
        <v>21</v>
      </c>
      <c r="D8" s="9" t="s">
        <v>12</v>
      </c>
      <c r="E8" s="9">
        <v>38</v>
      </c>
      <c r="F8" s="9">
        <v>45</v>
      </c>
      <c r="G8" s="9">
        <v>41</v>
      </c>
      <c r="H8" s="9">
        <v>52</v>
      </c>
      <c r="I8" s="11">
        <v>0.69</v>
      </c>
      <c r="J8" s="9">
        <f t="shared" si="0"/>
        <v>176</v>
      </c>
      <c r="K8" s="11">
        <f t="shared" si="1"/>
        <v>0.44</v>
      </c>
      <c r="L8" s="9" t="str">
        <f t="shared" si="2"/>
        <v>FAIL</v>
      </c>
      <c r="M8" s="9" t="str">
        <f t="shared" si="3"/>
        <v>NOT ELIGIBLE</v>
      </c>
      <c r="N8" s="9" t="str" cm="1">
        <f t="array" ref="N8">_xlfn.IFS(I8&gt;=95%,"EXCELLENT",I8&gt;=85%,"VERY GOOD",I8&gt;=75%,"GOOD",I8&gt;=65%,"IMPROVEMENT",I8&gt;=40%,"POOR",I8&gt;=0%,"WORST")</f>
        <v>IMPROVEMENT</v>
      </c>
    </row>
    <row r="9" spans="1:14" ht="20.25" hidden="1" customHeight="1">
      <c r="A9" s="9" t="s">
        <v>28</v>
      </c>
      <c r="B9" s="9" t="s">
        <v>29</v>
      </c>
      <c r="C9" s="9" t="s">
        <v>18</v>
      </c>
      <c r="D9" s="9" t="s">
        <v>15</v>
      </c>
      <c r="E9" s="9">
        <v>73</v>
      </c>
      <c r="F9" s="9">
        <v>68</v>
      </c>
      <c r="G9" s="9">
        <v>76</v>
      </c>
      <c r="H9" s="9">
        <v>82</v>
      </c>
      <c r="I9" s="11">
        <v>0.89</v>
      </c>
      <c r="J9" s="9">
        <f t="shared" si="0"/>
        <v>299</v>
      </c>
      <c r="K9" s="11">
        <f t="shared" si="1"/>
        <v>0.74750000000000005</v>
      </c>
      <c r="L9" s="9" t="str">
        <f t="shared" si="2"/>
        <v>PASS</v>
      </c>
      <c r="M9" s="9" t="str">
        <f t="shared" si="3"/>
        <v>ELIGIBLE</v>
      </c>
      <c r="N9" s="9" t="str" cm="1">
        <f t="array" ref="N9">_xlfn.IFS(I9&gt;=95%,"EXCELLENT",I9&gt;=85%,"VERY GOOD",I9&gt;=75%,"GOOD",I9&gt;=65%,"IMPROVEMENT",I9&gt;=40%,"POOR",I9&gt;=0%,"WORST")</f>
        <v>VERY GOOD</v>
      </c>
    </row>
    <row r="10" spans="1:14" ht="20.25" hidden="1" customHeight="1">
      <c r="A10" s="9" t="s">
        <v>30</v>
      </c>
      <c r="B10" s="9" t="s">
        <v>31</v>
      </c>
      <c r="C10" s="9" t="s">
        <v>11</v>
      </c>
      <c r="D10" s="9" t="s">
        <v>12</v>
      </c>
      <c r="E10" s="9">
        <v>95</v>
      </c>
      <c r="F10" s="9">
        <v>92</v>
      </c>
      <c r="G10" s="9">
        <v>89</v>
      </c>
      <c r="H10" s="9">
        <v>97</v>
      </c>
      <c r="I10" s="11">
        <v>0.99</v>
      </c>
      <c r="J10" s="9">
        <f t="shared" si="0"/>
        <v>373</v>
      </c>
      <c r="K10" s="11">
        <f t="shared" si="1"/>
        <v>0.9325</v>
      </c>
      <c r="L10" s="9" t="str">
        <f t="shared" si="2"/>
        <v>PASS</v>
      </c>
      <c r="M10" s="9" t="str">
        <f t="shared" si="3"/>
        <v>ELIGIBLE</v>
      </c>
      <c r="N10" s="9" t="str" cm="1">
        <f t="array" ref="N10">_xlfn.IFS(I10&gt;=95%,"EXCELLENT",I10&gt;=85%,"VERY GOOD",I10&gt;=75%,"GOOD",I10&gt;=65%,"IMPROVEMENT",I10&gt;=40%,"POOR",I10&gt;=0%,"WORST")</f>
        <v>EXCELLENT</v>
      </c>
    </row>
    <row r="11" spans="1:14" ht="20.25" hidden="1" customHeight="1">
      <c r="A11" s="9" t="s">
        <v>32</v>
      </c>
      <c r="B11" s="9" t="s">
        <v>33</v>
      </c>
      <c r="C11" s="9" t="s">
        <v>21</v>
      </c>
      <c r="D11" s="9" t="s">
        <v>15</v>
      </c>
      <c r="E11" s="9">
        <v>61</v>
      </c>
      <c r="F11" s="9">
        <v>57</v>
      </c>
      <c r="G11" s="9">
        <v>64</v>
      </c>
      <c r="H11" s="9">
        <v>69</v>
      </c>
      <c r="I11" s="11">
        <v>0.78</v>
      </c>
      <c r="J11" s="9">
        <f t="shared" si="0"/>
        <v>251</v>
      </c>
      <c r="K11" s="11">
        <f t="shared" si="1"/>
        <v>0.62749999999999995</v>
      </c>
      <c r="L11" s="9" t="str">
        <f t="shared" si="2"/>
        <v>PASS</v>
      </c>
      <c r="M11" s="9" t="str">
        <f t="shared" si="3"/>
        <v>ELIGIBLE</v>
      </c>
      <c r="N11" s="9" t="str" cm="1">
        <f t="array" ref="N11">_xlfn.IFS(I11&gt;=95%,"EXCELLENT",I11&gt;=85%,"VERY GOOD",I11&gt;=75%,"GOOD",I11&gt;=65%,"IMPROVEMENT",I11&gt;=40%,"POOR",I11&gt;=0%,"WORST")</f>
        <v>GOOD</v>
      </c>
    </row>
    <row r="12" spans="1:14" ht="20.25" hidden="1" customHeight="1">
      <c r="A12" s="9" t="s">
        <v>34</v>
      </c>
      <c r="B12" s="9" t="s">
        <v>35</v>
      </c>
      <c r="C12" s="9" t="s">
        <v>18</v>
      </c>
      <c r="D12" s="9" t="s">
        <v>12</v>
      </c>
      <c r="E12" s="9">
        <v>82</v>
      </c>
      <c r="F12" s="9">
        <v>86</v>
      </c>
      <c r="G12" s="9">
        <v>79</v>
      </c>
      <c r="H12" s="9">
        <v>88</v>
      </c>
      <c r="I12" s="11">
        <v>0.93</v>
      </c>
      <c r="J12" s="9">
        <f t="shared" si="0"/>
        <v>335</v>
      </c>
      <c r="K12" s="11">
        <f t="shared" si="1"/>
        <v>0.83750000000000002</v>
      </c>
      <c r="L12" s="9" t="str">
        <f t="shared" si="2"/>
        <v>PASS</v>
      </c>
      <c r="M12" s="9" t="str">
        <f t="shared" si="3"/>
        <v>ELIGIBLE</v>
      </c>
      <c r="N12" s="9" t="str" cm="1">
        <f t="array" ref="N12">_xlfn.IFS(I12&gt;=95%,"EXCELLENT",I12&gt;=85%,"VERY GOOD",I12&gt;=75%,"GOOD",I12&gt;=65%,"IMPROVEMENT",I12&gt;=40%,"POOR",I12&gt;=0%,"WORST")</f>
        <v>VERY GOOD</v>
      </c>
    </row>
    <row r="13" spans="1:14" ht="20.25" hidden="1" customHeight="1">
      <c r="A13" s="9" t="s">
        <v>36</v>
      </c>
      <c r="B13" s="9" t="s">
        <v>37</v>
      </c>
      <c r="C13" s="9" t="s">
        <v>11</v>
      </c>
      <c r="D13" s="9" t="s">
        <v>15</v>
      </c>
      <c r="E13" s="9">
        <v>88</v>
      </c>
      <c r="F13" s="9">
        <v>91</v>
      </c>
      <c r="G13" s="9">
        <v>85</v>
      </c>
      <c r="H13" s="9">
        <v>94</v>
      </c>
      <c r="I13" s="11">
        <v>0.97</v>
      </c>
      <c r="J13" s="9">
        <f t="shared" si="0"/>
        <v>358</v>
      </c>
      <c r="K13" s="11">
        <f t="shared" si="1"/>
        <v>0.89500000000000002</v>
      </c>
      <c r="L13" s="9" t="str">
        <f t="shared" si="2"/>
        <v>PASS</v>
      </c>
      <c r="M13" s="9" t="str">
        <f t="shared" si="3"/>
        <v>ELIGIBLE</v>
      </c>
      <c r="N13" s="9" t="str" cm="1">
        <f t="array" ref="N13">_xlfn.IFS(I13&gt;=95%,"EXCELLENT",I13&gt;=85%,"VERY GOOD",I13&gt;=75%,"GOOD",I13&gt;=65%,"IMPROVEMENT",I13&gt;=40%,"POOR",I13&gt;=0%,"WORST")</f>
        <v>EXCELLENT</v>
      </c>
    </row>
    <row r="14" spans="1:14" ht="20.25" hidden="1" customHeight="1">
      <c r="A14" s="9" t="s">
        <v>38</v>
      </c>
      <c r="B14" s="9" t="s">
        <v>39</v>
      </c>
      <c r="C14" s="9" t="s">
        <v>21</v>
      </c>
      <c r="D14" s="9" t="s">
        <v>12</v>
      </c>
      <c r="E14" s="9">
        <v>47</v>
      </c>
      <c r="F14" s="9">
        <v>52</v>
      </c>
      <c r="G14" s="9">
        <v>44</v>
      </c>
      <c r="H14" s="9">
        <v>58</v>
      </c>
      <c r="I14" s="11">
        <v>0.72</v>
      </c>
      <c r="J14" s="9">
        <f t="shared" si="0"/>
        <v>201</v>
      </c>
      <c r="K14" s="11">
        <f t="shared" si="1"/>
        <v>0.50249999999999995</v>
      </c>
      <c r="L14" s="9" t="str">
        <f t="shared" si="2"/>
        <v>PASS</v>
      </c>
      <c r="M14" s="9" t="str">
        <f t="shared" si="3"/>
        <v>NOT ELIGIBLE</v>
      </c>
      <c r="N14" s="9" t="str" cm="1">
        <f t="array" ref="N14">_xlfn.IFS(I14&gt;=95%,"EXCELLENT",I14&gt;=85%,"VERY GOOD",I14&gt;=75%,"GOOD",I14&gt;=65%,"IMPROVEMENT",I14&gt;=40%,"POOR",I14&gt;=0%,"WORST")</f>
        <v>IMPROVEMENT</v>
      </c>
    </row>
    <row r="15" spans="1:14" ht="20.25" hidden="1" customHeight="1">
      <c r="A15" s="9" t="s">
        <v>40</v>
      </c>
      <c r="B15" s="9" t="s">
        <v>41</v>
      </c>
      <c r="C15" s="9" t="s">
        <v>18</v>
      </c>
      <c r="D15" s="9" t="s">
        <v>15</v>
      </c>
      <c r="E15" s="9">
        <v>76</v>
      </c>
      <c r="F15" s="9">
        <v>81</v>
      </c>
      <c r="G15" s="9">
        <v>73</v>
      </c>
      <c r="H15" s="9">
        <v>79</v>
      </c>
      <c r="I15" s="11">
        <v>0.9</v>
      </c>
      <c r="J15" s="9">
        <f t="shared" si="0"/>
        <v>309</v>
      </c>
      <c r="K15" s="11">
        <f t="shared" si="1"/>
        <v>0.77249999999999996</v>
      </c>
      <c r="L15" s="9" t="str">
        <f t="shared" si="2"/>
        <v>PASS</v>
      </c>
      <c r="M15" s="9" t="str">
        <f t="shared" si="3"/>
        <v>ELIGIBLE</v>
      </c>
      <c r="N15" s="9" t="str" cm="1">
        <f t="array" ref="N15">_xlfn.IFS(I15&gt;=95%,"EXCELLENT",I15&gt;=85%,"VERY GOOD",I15&gt;=75%,"GOOD",I15&gt;=65%,"IMPROVEMENT",I15&gt;=40%,"POOR",I15&gt;=0%,"WORST")</f>
        <v>VERY GOOD</v>
      </c>
    </row>
    <row r="16" spans="1:14" ht="20.25" hidden="1" customHeight="1">
      <c r="A16" s="9" t="s">
        <v>42</v>
      </c>
      <c r="B16" s="9" t="s">
        <v>43</v>
      </c>
      <c r="C16" s="9" t="s">
        <v>11</v>
      </c>
      <c r="D16" s="9" t="s">
        <v>12</v>
      </c>
      <c r="E16" s="9">
        <v>69</v>
      </c>
      <c r="F16" s="9">
        <v>74</v>
      </c>
      <c r="G16" s="9">
        <v>67</v>
      </c>
      <c r="H16" s="9">
        <v>72</v>
      </c>
      <c r="I16" s="11">
        <v>0.84</v>
      </c>
      <c r="J16" s="9">
        <f t="shared" si="0"/>
        <v>282</v>
      </c>
      <c r="K16" s="11">
        <f t="shared" si="1"/>
        <v>0.70499999999999996</v>
      </c>
      <c r="L16" s="9" t="str">
        <f t="shared" si="2"/>
        <v>PASS</v>
      </c>
      <c r="M16" s="9" t="str">
        <f t="shared" si="3"/>
        <v>ELIGIBLE</v>
      </c>
      <c r="N16" s="9" t="str" cm="1">
        <f t="array" ref="N16">_xlfn.IFS(I16&gt;=95%,"EXCELLENT",I16&gt;=85%,"VERY GOOD",I16&gt;=75%,"GOOD",I16&gt;=65%,"IMPROVEMENT",I16&gt;=40%,"POOR",I16&gt;=0%,"WORST")</f>
        <v>GOOD</v>
      </c>
    </row>
    <row r="17" spans="1:14" ht="20.25" hidden="1" customHeight="1">
      <c r="A17" s="9" t="s">
        <v>44</v>
      </c>
      <c r="B17" s="9" t="s">
        <v>45</v>
      </c>
      <c r="C17" s="9" t="s">
        <v>21</v>
      </c>
      <c r="D17" s="9" t="s">
        <v>15</v>
      </c>
      <c r="E17" s="9">
        <v>93</v>
      </c>
      <c r="F17" s="9">
        <v>89</v>
      </c>
      <c r="G17" s="9">
        <v>96</v>
      </c>
      <c r="H17" s="9">
        <v>91</v>
      </c>
      <c r="I17" s="11">
        <v>0.98</v>
      </c>
      <c r="J17" s="9">
        <f t="shared" si="0"/>
        <v>369</v>
      </c>
      <c r="K17" s="11">
        <f t="shared" si="1"/>
        <v>0.92249999999999999</v>
      </c>
      <c r="L17" s="9" t="str">
        <f t="shared" si="2"/>
        <v>PASS</v>
      </c>
      <c r="M17" s="9" t="str">
        <f t="shared" si="3"/>
        <v>ELIGIBLE</v>
      </c>
      <c r="N17" s="9" t="str" cm="1">
        <f t="array" ref="N17">_xlfn.IFS(I17&gt;=95%,"EXCELLENT",I17&gt;=85%,"VERY GOOD",I17&gt;=75%,"GOOD",I17&gt;=65%,"IMPROVEMENT",I17&gt;=40%,"POOR",I17&gt;=0%,"WORST")</f>
        <v>EXCELLENT</v>
      </c>
    </row>
    <row r="18" spans="1:14" ht="20.25" hidden="1" customHeight="1">
      <c r="A18" s="9" t="s">
        <v>46</v>
      </c>
      <c r="B18" s="9" t="s">
        <v>47</v>
      </c>
      <c r="C18" s="9" t="s">
        <v>18</v>
      </c>
      <c r="D18" s="9" t="s">
        <v>12</v>
      </c>
      <c r="E18" s="9">
        <v>54</v>
      </c>
      <c r="F18" s="9">
        <v>49</v>
      </c>
      <c r="G18" s="9">
        <v>57</v>
      </c>
      <c r="H18" s="9">
        <v>63</v>
      </c>
      <c r="I18" s="11">
        <v>0.76</v>
      </c>
      <c r="J18" s="9">
        <f t="shared" si="0"/>
        <v>223</v>
      </c>
      <c r="K18" s="11">
        <f t="shared" si="1"/>
        <v>0.5575</v>
      </c>
      <c r="L18" s="9" t="str">
        <f t="shared" si="2"/>
        <v>PASS</v>
      </c>
      <c r="M18" s="9" t="str">
        <f t="shared" si="3"/>
        <v>ELIGIBLE</v>
      </c>
      <c r="N18" s="9" t="str" cm="1">
        <f t="array" ref="N18">_xlfn.IFS(I18&gt;=95%,"EXCELLENT",I18&gt;=85%,"VERY GOOD",I18&gt;=75%,"GOOD",I18&gt;=65%,"IMPROVEMENT",I18&gt;=40%,"POOR",I18&gt;=0%,"WORST")</f>
        <v>GOOD</v>
      </c>
    </row>
    <row r="19" spans="1:14" ht="20.25" hidden="1" customHeight="1">
      <c r="A19" s="9" t="s">
        <v>48</v>
      </c>
      <c r="B19" s="9" t="s">
        <v>49</v>
      </c>
      <c r="C19" s="9" t="s">
        <v>11</v>
      </c>
      <c r="D19" s="9" t="s">
        <v>15</v>
      </c>
      <c r="E19" s="9">
        <v>81</v>
      </c>
      <c r="F19" s="9">
        <v>77</v>
      </c>
      <c r="G19" s="9">
        <v>84</v>
      </c>
      <c r="H19" s="9">
        <v>86</v>
      </c>
      <c r="I19" s="11">
        <v>0.91</v>
      </c>
      <c r="J19" s="9">
        <f t="shared" si="0"/>
        <v>328</v>
      </c>
      <c r="K19" s="11">
        <f t="shared" si="1"/>
        <v>0.82</v>
      </c>
      <c r="L19" s="9" t="str">
        <f t="shared" si="2"/>
        <v>PASS</v>
      </c>
      <c r="M19" s="9" t="str">
        <f t="shared" si="3"/>
        <v>ELIGIBLE</v>
      </c>
      <c r="N19" s="9" t="str" cm="1">
        <f t="array" ref="N19">_xlfn.IFS(I19&gt;=95%,"EXCELLENT",I19&gt;=85%,"VERY GOOD",I19&gt;=75%,"GOOD",I19&gt;=65%,"IMPROVEMENT",I19&gt;=40%,"POOR",I19&gt;=0%,"WORST")</f>
        <v>VERY GOOD</v>
      </c>
    </row>
    <row r="20" spans="1:14" ht="20.25" customHeight="1">
      <c r="A20" s="9" t="s">
        <v>50</v>
      </c>
      <c r="B20" s="9" t="s">
        <v>51</v>
      </c>
      <c r="C20" s="9" t="s">
        <v>21</v>
      </c>
      <c r="D20" s="9" t="s">
        <v>12</v>
      </c>
      <c r="E20" s="9">
        <v>35</v>
      </c>
      <c r="F20" s="9">
        <v>42</v>
      </c>
      <c r="G20" s="9">
        <v>39</v>
      </c>
      <c r="H20" s="9">
        <v>48</v>
      </c>
      <c r="I20" s="11">
        <v>0.65</v>
      </c>
      <c r="J20" s="9">
        <f t="shared" si="0"/>
        <v>164</v>
      </c>
      <c r="K20" s="11">
        <f t="shared" si="1"/>
        <v>0.41</v>
      </c>
      <c r="L20" s="9" t="str">
        <f t="shared" si="2"/>
        <v>FAIL</v>
      </c>
      <c r="M20" s="9" t="str">
        <f t="shared" si="3"/>
        <v>NOT ELIGIBLE</v>
      </c>
      <c r="N20" s="9" t="str" cm="1">
        <f t="array" ref="N20">_xlfn.IFS(I20&gt;=95%,"EXCELLENT",I20&gt;=85%,"VERY GOOD",I20&gt;=75%,"GOOD",I20&gt;=65%,"IMPROVEMENT",I20&gt;=40%,"POOR",I20&gt;=0%,"WORST")</f>
        <v>IMPROVEMENT</v>
      </c>
    </row>
    <row r="21" spans="1:14" ht="20.25" hidden="1" customHeight="1">
      <c r="A21" s="9" t="s">
        <v>52</v>
      </c>
      <c r="B21" s="9" t="s">
        <v>53</v>
      </c>
      <c r="C21" s="9" t="s">
        <v>18</v>
      </c>
      <c r="D21" s="9" t="s">
        <v>15</v>
      </c>
      <c r="E21" s="9">
        <v>72</v>
      </c>
      <c r="F21" s="9">
        <v>75</v>
      </c>
      <c r="G21" s="9">
        <v>70</v>
      </c>
      <c r="H21" s="9">
        <v>78</v>
      </c>
      <c r="I21" s="11">
        <v>0.88</v>
      </c>
      <c r="J21" s="9">
        <f t="shared" si="0"/>
        <v>295</v>
      </c>
      <c r="K21" s="11">
        <f t="shared" si="1"/>
        <v>0.73750000000000004</v>
      </c>
      <c r="L21" s="9" t="str">
        <f t="shared" si="2"/>
        <v>PASS</v>
      </c>
      <c r="M21" s="9" t="str">
        <f t="shared" si="3"/>
        <v>ELIGIBLE</v>
      </c>
      <c r="N21" s="9" t="str" cm="1">
        <f t="array" ref="N21">_xlfn.IFS(I21&gt;=95%,"EXCELLENT",I21&gt;=85%,"VERY GOOD",I21&gt;=75%,"GOOD",I21&gt;=65%,"IMPROVEMENT",I21&gt;=40%,"POOR",I21&gt;=0%,"WORST")</f>
        <v>VERY GOOD</v>
      </c>
    </row>
    <row r="22" spans="1:14" ht="20.25" hidden="1" customHeight="1">
      <c r="A22" s="9" t="s">
        <v>54</v>
      </c>
      <c r="B22" s="9" t="s">
        <v>55</v>
      </c>
      <c r="C22" s="9" t="s">
        <v>11</v>
      </c>
      <c r="D22" s="9" t="s">
        <v>12</v>
      </c>
      <c r="E22" s="9">
        <v>89</v>
      </c>
      <c r="F22" s="9">
        <v>94</v>
      </c>
      <c r="G22" s="9">
        <v>91</v>
      </c>
      <c r="H22" s="9">
        <v>93</v>
      </c>
      <c r="I22" s="11">
        <v>0.96</v>
      </c>
      <c r="J22" s="9">
        <f t="shared" si="0"/>
        <v>367</v>
      </c>
      <c r="K22" s="11">
        <f t="shared" si="1"/>
        <v>0.91749999999999998</v>
      </c>
      <c r="L22" s="9" t="str">
        <f t="shared" si="2"/>
        <v>PASS</v>
      </c>
      <c r="M22" s="9" t="str">
        <f t="shared" si="3"/>
        <v>ELIGIBLE</v>
      </c>
      <c r="N22" s="9" t="str" cm="1">
        <f t="array" ref="N22">_xlfn.IFS(I22&gt;=95%,"EXCELLENT",I22&gt;=85%,"VERY GOOD",I22&gt;=75%,"GOOD",I22&gt;=65%,"IMPROVEMENT",I22&gt;=40%,"POOR",I22&gt;=0%,"WORST")</f>
        <v>EXCELLENT</v>
      </c>
    </row>
    <row r="23" spans="1:14" ht="20.25" hidden="1" customHeight="1">
      <c r="A23" s="9" t="s">
        <v>56</v>
      </c>
      <c r="B23" s="9" t="s">
        <v>57</v>
      </c>
      <c r="C23" s="9" t="s">
        <v>21</v>
      </c>
      <c r="D23" s="9" t="s">
        <v>15</v>
      </c>
      <c r="E23" s="9">
        <v>64</v>
      </c>
      <c r="F23" s="9">
        <v>69</v>
      </c>
      <c r="G23" s="9">
        <v>62</v>
      </c>
      <c r="H23" s="9">
        <v>71</v>
      </c>
      <c r="I23" s="11">
        <v>0.82</v>
      </c>
      <c r="J23" s="9">
        <f t="shared" si="0"/>
        <v>266</v>
      </c>
      <c r="K23" s="11">
        <f t="shared" si="1"/>
        <v>0.66500000000000004</v>
      </c>
      <c r="L23" s="9" t="str">
        <f t="shared" si="2"/>
        <v>PASS</v>
      </c>
      <c r="M23" s="9" t="str">
        <f t="shared" si="3"/>
        <v>ELIGIBLE</v>
      </c>
      <c r="N23" s="9" t="str" cm="1">
        <f t="array" ref="N23">_xlfn.IFS(I23&gt;=95%,"EXCELLENT",I23&gt;=85%,"VERY GOOD",I23&gt;=75%,"GOOD",I23&gt;=65%,"IMPROVEMENT",I23&gt;=40%,"POOR",I23&gt;=0%,"WORST")</f>
        <v>GOOD</v>
      </c>
    </row>
    <row r="24" spans="1:14" ht="20.25" hidden="1" customHeight="1">
      <c r="A24" s="9" t="s">
        <v>58</v>
      </c>
      <c r="B24" s="9" t="s">
        <v>59</v>
      </c>
      <c r="C24" s="9" t="s">
        <v>18</v>
      </c>
      <c r="D24" s="9" t="s">
        <v>12</v>
      </c>
      <c r="E24" s="9">
        <v>58</v>
      </c>
      <c r="F24" s="9">
        <v>61</v>
      </c>
      <c r="G24" s="9">
        <v>55</v>
      </c>
      <c r="H24" s="9">
        <v>67</v>
      </c>
      <c r="I24" s="11">
        <v>0.79</v>
      </c>
      <c r="J24" s="9">
        <f t="shared" si="0"/>
        <v>241</v>
      </c>
      <c r="K24" s="11">
        <f t="shared" si="1"/>
        <v>0.60250000000000004</v>
      </c>
      <c r="L24" s="9" t="str">
        <f t="shared" si="2"/>
        <v>PASS</v>
      </c>
      <c r="M24" s="9" t="str">
        <f t="shared" si="3"/>
        <v>ELIGIBLE</v>
      </c>
      <c r="N24" s="9" t="str" cm="1">
        <f t="array" ref="N24">_xlfn.IFS(I24&gt;=95%,"EXCELLENT",I24&gt;=85%,"VERY GOOD",I24&gt;=75%,"GOOD",I24&gt;=65%,"IMPROVEMENT",I24&gt;=40%,"POOR",I24&gt;=0%,"WORST")</f>
        <v>GOOD</v>
      </c>
    </row>
    <row r="25" spans="1:14" ht="20.25" hidden="1" customHeight="1">
      <c r="A25" s="9" t="s">
        <v>60</v>
      </c>
      <c r="B25" s="9" t="s">
        <v>61</v>
      </c>
      <c r="C25" s="9" t="s">
        <v>11</v>
      </c>
      <c r="D25" s="9" t="s">
        <v>15</v>
      </c>
      <c r="E25" s="9">
        <v>77</v>
      </c>
      <c r="F25" s="9">
        <v>83</v>
      </c>
      <c r="G25" s="9">
        <v>80</v>
      </c>
      <c r="H25" s="9">
        <v>85</v>
      </c>
      <c r="I25" s="11">
        <v>0.94</v>
      </c>
      <c r="J25" s="9">
        <f t="shared" si="0"/>
        <v>325</v>
      </c>
      <c r="K25" s="11">
        <f t="shared" si="1"/>
        <v>0.8125</v>
      </c>
      <c r="L25" s="9" t="str">
        <f t="shared" si="2"/>
        <v>PASS</v>
      </c>
      <c r="M25" s="9" t="str">
        <f t="shared" si="3"/>
        <v>ELIGIBLE</v>
      </c>
      <c r="N25" s="9" t="str" cm="1">
        <f t="array" ref="N25">_xlfn.IFS(I25&gt;=95%,"EXCELLENT",I25&gt;=85%,"VERY GOOD",I25&gt;=75%,"GOOD",I25&gt;=65%,"IMPROVEMENT",I25&gt;=40%,"POOR",I25&gt;=0%,"WORST")</f>
        <v>VERY GOOD</v>
      </c>
    </row>
    <row r="26" spans="1:14" ht="20.25" hidden="1" customHeight="1">
      <c r="A26" s="9" t="s">
        <v>62</v>
      </c>
      <c r="B26" s="9" t="s">
        <v>63</v>
      </c>
      <c r="C26" s="9" t="s">
        <v>21</v>
      </c>
      <c r="D26" s="9" t="s">
        <v>12</v>
      </c>
      <c r="E26" s="9">
        <v>44</v>
      </c>
      <c r="F26" s="9">
        <v>51</v>
      </c>
      <c r="G26" s="9">
        <v>46</v>
      </c>
      <c r="H26" s="9">
        <v>55</v>
      </c>
      <c r="I26" s="11">
        <v>0.73</v>
      </c>
      <c r="J26" s="9">
        <f t="shared" si="0"/>
        <v>196</v>
      </c>
      <c r="K26" s="11">
        <f t="shared" si="1"/>
        <v>0.49</v>
      </c>
      <c r="L26" s="9" t="str">
        <f t="shared" si="2"/>
        <v>PASS</v>
      </c>
      <c r="M26" s="9" t="str">
        <f t="shared" si="3"/>
        <v>NOT ELIGIBLE</v>
      </c>
      <c r="N26" s="9" t="str" cm="1">
        <f t="array" ref="N26">_xlfn.IFS(I26&gt;=95%,"EXCELLENT",I26&gt;=85%,"VERY GOOD",I26&gt;=75%,"GOOD",I26&gt;=65%,"IMPROVEMENT",I26&gt;=40%,"POOR",I26&gt;=0%,"WORST")</f>
        <v>IMPROVEMENT</v>
      </c>
    </row>
    <row r="27" spans="1:14" ht="20.25" hidden="1" customHeight="1">
      <c r="A27" s="9" t="s">
        <v>64</v>
      </c>
      <c r="B27" s="9" t="s">
        <v>65</v>
      </c>
      <c r="C27" s="9" t="s">
        <v>18</v>
      </c>
      <c r="D27" s="9" t="s">
        <v>15</v>
      </c>
      <c r="E27" s="9">
        <v>86</v>
      </c>
      <c r="F27" s="9">
        <v>78</v>
      </c>
      <c r="G27" s="9">
        <v>89</v>
      </c>
      <c r="H27" s="9">
        <v>92</v>
      </c>
      <c r="I27" s="11">
        <v>0.95</v>
      </c>
      <c r="J27" s="9">
        <f t="shared" si="0"/>
        <v>345</v>
      </c>
      <c r="K27" s="11">
        <f t="shared" si="1"/>
        <v>0.86250000000000004</v>
      </c>
      <c r="L27" s="9" t="str">
        <f t="shared" si="2"/>
        <v>PASS</v>
      </c>
      <c r="M27" s="9" t="str">
        <f t="shared" si="3"/>
        <v>ELIGIBLE</v>
      </c>
      <c r="N27" s="9" t="str" cm="1">
        <f t="array" ref="N27">_xlfn.IFS(I27&gt;=95%,"EXCELLENT",I27&gt;=85%,"VERY GOOD",I27&gt;=75%,"GOOD",I27&gt;=65%,"IMPROVEMENT",I27&gt;=40%,"POOR",I27&gt;=0%,"WORST")</f>
        <v>EXCELLENT</v>
      </c>
    </row>
    <row r="28" spans="1:14" ht="20.25" hidden="1" customHeight="1">
      <c r="A28" s="9" t="s">
        <v>66</v>
      </c>
      <c r="B28" s="9" t="s">
        <v>67</v>
      </c>
      <c r="C28" s="9" t="s">
        <v>11</v>
      </c>
      <c r="D28" s="9" t="s">
        <v>12</v>
      </c>
      <c r="E28" s="9">
        <v>71</v>
      </c>
      <c r="F28" s="9">
        <v>66</v>
      </c>
      <c r="G28" s="9">
        <v>74</v>
      </c>
      <c r="H28" s="9">
        <v>80</v>
      </c>
      <c r="I28" s="11">
        <v>0.86</v>
      </c>
      <c r="J28" s="9">
        <f t="shared" si="0"/>
        <v>291</v>
      </c>
      <c r="K28" s="11">
        <f t="shared" si="1"/>
        <v>0.72750000000000004</v>
      </c>
      <c r="L28" s="9" t="str">
        <f t="shared" si="2"/>
        <v>PASS</v>
      </c>
      <c r="M28" s="9" t="str">
        <f t="shared" si="3"/>
        <v>ELIGIBLE</v>
      </c>
      <c r="N28" s="9" t="str" cm="1">
        <f t="array" ref="N28">_xlfn.IFS(I28&gt;=95%,"EXCELLENT",I28&gt;=85%,"VERY GOOD",I28&gt;=75%,"GOOD",I28&gt;=65%,"IMPROVEMENT",I28&gt;=40%,"POOR",I28&gt;=0%,"WORST")</f>
        <v>VERY GOOD</v>
      </c>
    </row>
    <row r="29" spans="1:14" ht="20.25" hidden="1" customHeight="1">
      <c r="A29" s="9" t="s">
        <v>68</v>
      </c>
      <c r="B29" s="9" t="s">
        <v>69</v>
      </c>
      <c r="C29" s="9" t="s">
        <v>21</v>
      </c>
      <c r="D29" s="9" t="s">
        <v>15</v>
      </c>
      <c r="E29" s="9">
        <v>92</v>
      </c>
      <c r="F29" s="9">
        <v>95</v>
      </c>
      <c r="G29" s="9">
        <v>90</v>
      </c>
      <c r="H29" s="9">
        <v>97</v>
      </c>
      <c r="I29" s="11">
        <v>0.99</v>
      </c>
      <c r="J29" s="9">
        <f t="shared" si="0"/>
        <v>374</v>
      </c>
      <c r="K29" s="11">
        <f t="shared" si="1"/>
        <v>0.93500000000000005</v>
      </c>
      <c r="L29" s="9" t="str">
        <f t="shared" si="2"/>
        <v>PASS</v>
      </c>
      <c r="M29" s="9" t="str">
        <f t="shared" si="3"/>
        <v>ELIGIBLE</v>
      </c>
      <c r="N29" s="9" t="str" cm="1">
        <f t="array" ref="N29">_xlfn.IFS(I29&gt;=95%,"EXCELLENT",I29&gt;=85%,"VERY GOOD",I29&gt;=75%,"GOOD",I29&gt;=65%,"IMPROVEMENT",I29&gt;=40%,"POOR",I29&gt;=0%,"WORST")</f>
        <v>EXCELLENT</v>
      </c>
    </row>
    <row r="30" spans="1:14" ht="20.25" hidden="1" customHeight="1">
      <c r="A30" s="9" t="s">
        <v>70</v>
      </c>
      <c r="B30" s="9" t="s">
        <v>71</v>
      </c>
      <c r="C30" s="9" t="s">
        <v>18</v>
      </c>
      <c r="D30" s="9" t="s">
        <v>12</v>
      </c>
      <c r="E30" s="9">
        <v>49</v>
      </c>
      <c r="F30" s="9">
        <v>58</v>
      </c>
      <c r="G30" s="9">
        <v>52</v>
      </c>
      <c r="H30" s="9">
        <v>60</v>
      </c>
      <c r="I30" s="11">
        <v>0.75</v>
      </c>
      <c r="J30" s="9">
        <f t="shared" si="0"/>
        <v>219</v>
      </c>
      <c r="K30" s="11">
        <f t="shared" si="1"/>
        <v>0.54749999999999999</v>
      </c>
      <c r="L30" s="9" t="str">
        <f t="shared" si="2"/>
        <v>PASS</v>
      </c>
      <c r="M30" s="9" t="str">
        <f t="shared" si="3"/>
        <v>ELIGIBLE</v>
      </c>
      <c r="N30" s="9" t="str" cm="1">
        <f t="array" ref="N30">_xlfn.IFS(I30&gt;=95%,"EXCELLENT",I30&gt;=85%,"VERY GOOD",I30&gt;=75%,"GOOD",I30&gt;=65%,"IMPROVEMENT",I30&gt;=40%,"POOR",I30&gt;=0%,"WORST")</f>
        <v>GOOD</v>
      </c>
    </row>
    <row r="31" spans="1:14" ht="20.25" hidden="1" customHeight="1">
      <c r="A31" s="9" t="s">
        <v>72</v>
      </c>
      <c r="B31" s="9" t="s">
        <v>73</v>
      </c>
      <c r="C31" s="9" t="s">
        <v>11</v>
      </c>
      <c r="D31" s="9" t="s">
        <v>15</v>
      </c>
      <c r="E31" s="9">
        <v>68</v>
      </c>
      <c r="F31" s="9">
        <v>73</v>
      </c>
      <c r="G31" s="9">
        <v>71</v>
      </c>
      <c r="H31" s="9">
        <v>76</v>
      </c>
      <c r="I31" s="11">
        <v>0.85</v>
      </c>
      <c r="J31" s="9">
        <f t="shared" si="0"/>
        <v>288</v>
      </c>
      <c r="K31" s="11">
        <f t="shared" si="1"/>
        <v>0.72</v>
      </c>
      <c r="L31" s="9" t="str">
        <f t="shared" si="2"/>
        <v>PASS</v>
      </c>
      <c r="M31" s="9" t="str">
        <f t="shared" si="3"/>
        <v>ELIGIBLE</v>
      </c>
      <c r="N31" s="9" t="str" cm="1">
        <f t="array" ref="N31">_xlfn.IFS(I31&gt;=95%,"EXCELLENT",I31&gt;=85%,"VERY GOOD",I31&gt;=75%,"GOOD",I31&gt;=65%,"IMPROVEMENT",I31&gt;=40%,"POOR",I31&gt;=0%,"WORST")</f>
        <v>VERY GOOD</v>
      </c>
    </row>
    <row r="32" spans="1:14" ht="20.25" hidden="1" customHeight="1">
      <c r="A32" s="9" t="s">
        <v>74</v>
      </c>
      <c r="B32" s="9" t="s">
        <v>75</v>
      </c>
      <c r="C32" s="9" t="s">
        <v>21</v>
      </c>
      <c r="D32" s="9" t="s">
        <v>12</v>
      </c>
      <c r="E32" s="9">
        <v>79</v>
      </c>
      <c r="F32" s="9">
        <v>82</v>
      </c>
      <c r="G32" s="9">
        <v>77</v>
      </c>
      <c r="H32" s="9">
        <v>84</v>
      </c>
      <c r="I32" s="11">
        <v>0.91</v>
      </c>
      <c r="J32" s="9">
        <f t="shared" si="0"/>
        <v>322</v>
      </c>
      <c r="K32" s="11">
        <f t="shared" si="1"/>
        <v>0.80500000000000005</v>
      </c>
      <c r="L32" s="9" t="str">
        <f t="shared" si="2"/>
        <v>PASS</v>
      </c>
      <c r="M32" s="9" t="str">
        <f t="shared" si="3"/>
        <v>ELIGIBLE</v>
      </c>
      <c r="N32" s="9" t="str" cm="1">
        <f t="array" ref="N32">_xlfn.IFS(I32&gt;=95%,"EXCELLENT",I32&gt;=85%,"VERY GOOD",I32&gt;=75%,"GOOD",I32&gt;=65%,"IMPROVEMENT",I32&gt;=40%,"POOR",I32&gt;=0%,"WORST")</f>
        <v>VERY GOOD</v>
      </c>
    </row>
    <row r="33" spans="1:14" ht="20.25" hidden="1" customHeight="1">
      <c r="A33" s="9" t="s">
        <v>76</v>
      </c>
      <c r="B33" s="9" t="s">
        <v>77</v>
      </c>
      <c r="C33" s="9" t="s">
        <v>18</v>
      </c>
      <c r="D33" s="9" t="s">
        <v>15</v>
      </c>
      <c r="E33" s="9">
        <v>85</v>
      </c>
      <c r="F33" s="9">
        <v>87</v>
      </c>
      <c r="G33" s="9">
        <v>83</v>
      </c>
      <c r="H33" s="9">
        <v>89</v>
      </c>
      <c r="I33" s="11">
        <v>0.96</v>
      </c>
      <c r="J33" s="9">
        <f t="shared" si="0"/>
        <v>344</v>
      </c>
      <c r="K33" s="11">
        <f t="shared" si="1"/>
        <v>0.86</v>
      </c>
      <c r="L33" s="9" t="str">
        <f t="shared" si="2"/>
        <v>PASS</v>
      </c>
      <c r="M33" s="9" t="str">
        <f t="shared" si="3"/>
        <v>ELIGIBLE</v>
      </c>
      <c r="N33" s="9" t="str" cm="1">
        <f t="array" ref="N33">_xlfn.IFS(I33&gt;=95%,"EXCELLENT",I33&gt;=85%,"VERY GOOD",I33&gt;=75%,"GOOD",I33&gt;=65%,"IMPROVEMENT",I33&gt;=40%,"POOR",I33&gt;=0%,"WORST")</f>
        <v>EXCELLENT</v>
      </c>
    </row>
    <row r="34" spans="1:14" ht="20.25" hidden="1" customHeight="1">
      <c r="A34" s="9" t="s">
        <v>78</v>
      </c>
      <c r="B34" s="9" t="s">
        <v>79</v>
      </c>
      <c r="C34" s="9" t="s">
        <v>11</v>
      </c>
      <c r="D34" s="9" t="s">
        <v>12</v>
      </c>
      <c r="E34" s="9">
        <v>52</v>
      </c>
      <c r="F34" s="9">
        <v>47</v>
      </c>
      <c r="G34" s="9">
        <v>54</v>
      </c>
      <c r="H34" s="9">
        <v>62</v>
      </c>
      <c r="I34" s="11">
        <v>0.77</v>
      </c>
      <c r="J34" s="9">
        <f t="shared" si="0"/>
        <v>215</v>
      </c>
      <c r="K34" s="11">
        <f t="shared" si="1"/>
        <v>0.53749999999999998</v>
      </c>
      <c r="L34" s="9" t="str">
        <f t="shared" si="2"/>
        <v>PASS</v>
      </c>
      <c r="M34" s="9" t="str">
        <f t="shared" si="3"/>
        <v>ELIGIBLE</v>
      </c>
      <c r="N34" s="9" t="str" cm="1">
        <f t="array" ref="N34">_xlfn.IFS(I34&gt;=95%,"EXCELLENT",I34&gt;=85%,"VERY GOOD",I34&gt;=75%,"GOOD",I34&gt;=65%,"IMPROVEMENT",I34&gt;=40%,"POOR",I34&gt;=0%,"WORST")</f>
        <v>GOOD</v>
      </c>
    </row>
    <row r="35" spans="1:14" ht="20.25" hidden="1" customHeight="1">
      <c r="A35" s="9" t="s">
        <v>80</v>
      </c>
      <c r="B35" s="9" t="s">
        <v>81</v>
      </c>
      <c r="C35" s="9" t="s">
        <v>21</v>
      </c>
      <c r="D35" s="9" t="s">
        <v>15</v>
      </c>
      <c r="E35" s="9">
        <v>74</v>
      </c>
      <c r="F35" s="9">
        <v>79</v>
      </c>
      <c r="G35" s="9">
        <v>76</v>
      </c>
      <c r="H35" s="9">
        <v>81</v>
      </c>
      <c r="I35" s="11">
        <v>0.89</v>
      </c>
      <c r="J35" s="9">
        <f t="shared" si="0"/>
        <v>310</v>
      </c>
      <c r="K35" s="11">
        <f t="shared" si="1"/>
        <v>0.77500000000000002</v>
      </c>
      <c r="L35" s="9" t="str">
        <f t="shared" si="2"/>
        <v>PASS</v>
      </c>
      <c r="M35" s="9" t="str">
        <f t="shared" si="3"/>
        <v>ELIGIBLE</v>
      </c>
      <c r="N35" s="9" t="str" cm="1">
        <f t="array" ref="N35">_xlfn.IFS(I35&gt;=95%,"EXCELLENT",I35&gt;=85%,"VERY GOOD",I35&gt;=75%,"GOOD",I35&gt;=65%,"IMPROVEMENT",I35&gt;=40%,"POOR",I35&gt;=0%,"WORST")</f>
        <v>VERY GOOD</v>
      </c>
    </row>
    <row r="36" spans="1:14" ht="20.25" hidden="1" customHeight="1">
      <c r="A36" s="9" t="s">
        <v>82</v>
      </c>
      <c r="B36" s="9" t="s">
        <v>83</v>
      </c>
      <c r="C36" s="9" t="s">
        <v>18</v>
      </c>
      <c r="D36" s="9" t="s">
        <v>12</v>
      </c>
      <c r="E36" s="9">
        <v>63</v>
      </c>
      <c r="F36" s="9">
        <v>59</v>
      </c>
      <c r="G36" s="9">
        <v>66</v>
      </c>
      <c r="H36" s="9">
        <v>70</v>
      </c>
      <c r="I36" s="11">
        <v>0.8</v>
      </c>
      <c r="J36" s="9">
        <f t="shared" si="0"/>
        <v>258</v>
      </c>
      <c r="K36" s="11">
        <f t="shared" si="1"/>
        <v>0.64500000000000002</v>
      </c>
      <c r="L36" s="9" t="str">
        <f t="shared" si="2"/>
        <v>PASS</v>
      </c>
      <c r="M36" s="9" t="str">
        <f t="shared" si="3"/>
        <v>ELIGIBLE</v>
      </c>
      <c r="N36" s="9" t="str" cm="1">
        <f t="array" ref="N36">_xlfn.IFS(I36&gt;=95%,"EXCELLENT",I36&gt;=85%,"VERY GOOD",I36&gt;=75%,"GOOD",I36&gt;=65%,"IMPROVEMENT",I36&gt;=40%,"POOR",I36&gt;=0%,"WORST")</f>
        <v>GOOD</v>
      </c>
    </row>
    <row r="37" spans="1:14" ht="20.25" hidden="1" customHeight="1">
      <c r="A37" s="9" t="s">
        <v>84</v>
      </c>
      <c r="B37" s="9" t="s">
        <v>85</v>
      </c>
      <c r="C37" s="9" t="s">
        <v>11</v>
      </c>
      <c r="D37" s="9" t="s">
        <v>15</v>
      </c>
      <c r="E37" s="9">
        <v>97</v>
      </c>
      <c r="F37" s="9">
        <v>93</v>
      </c>
      <c r="G37" s="9">
        <v>95</v>
      </c>
      <c r="H37" s="9">
        <v>98</v>
      </c>
      <c r="I37" s="11">
        <v>1</v>
      </c>
      <c r="J37" s="9">
        <f t="shared" si="0"/>
        <v>383</v>
      </c>
      <c r="K37" s="11">
        <f t="shared" si="1"/>
        <v>0.95750000000000002</v>
      </c>
      <c r="L37" s="9" t="str">
        <f t="shared" si="2"/>
        <v>PASS</v>
      </c>
      <c r="M37" s="9" t="str">
        <f t="shared" si="3"/>
        <v>ELIGIBLE</v>
      </c>
      <c r="N37" s="9" t="str" cm="1">
        <f t="array" ref="N37">_xlfn.IFS(I37&gt;=95%,"EXCELLENT",I37&gt;=85%,"VERY GOOD",I37&gt;=75%,"GOOD",I37&gt;=65%,"IMPROVEMENT",I37&gt;=40%,"POOR",I37&gt;=0%,"WORST")</f>
        <v>EXCELLENT</v>
      </c>
    </row>
    <row r="38" spans="1:14" ht="20.25" hidden="1" customHeight="1">
      <c r="A38" s="9" t="s">
        <v>86</v>
      </c>
      <c r="B38" s="9" t="s">
        <v>87</v>
      </c>
      <c r="C38" s="9" t="s">
        <v>21</v>
      </c>
      <c r="D38" s="9" t="s">
        <v>12</v>
      </c>
      <c r="E38" s="9">
        <v>41</v>
      </c>
      <c r="F38" s="9">
        <v>48</v>
      </c>
      <c r="G38" s="9">
        <v>45</v>
      </c>
      <c r="H38" s="9">
        <v>53</v>
      </c>
      <c r="I38" s="11">
        <v>0.71</v>
      </c>
      <c r="J38" s="9">
        <f t="shared" si="0"/>
        <v>187</v>
      </c>
      <c r="K38" s="11">
        <f t="shared" si="1"/>
        <v>0.46750000000000003</v>
      </c>
      <c r="L38" s="9" t="str">
        <f t="shared" si="2"/>
        <v>PASS</v>
      </c>
      <c r="M38" s="9" t="str">
        <f t="shared" si="3"/>
        <v>NOT ELIGIBLE</v>
      </c>
      <c r="N38" s="9" t="str" cm="1">
        <f t="array" ref="N38">_xlfn.IFS(I38&gt;=95%,"EXCELLENT",I38&gt;=85%,"VERY GOOD",I38&gt;=75%,"GOOD",I38&gt;=65%,"IMPROVEMENT",I38&gt;=40%,"POOR",I38&gt;=0%,"WORST")</f>
        <v>IMPROVEMENT</v>
      </c>
    </row>
    <row r="39" spans="1:14" ht="20.25" hidden="1" customHeight="1">
      <c r="A39" s="9" t="s">
        <v>88</v>
      </c>
      <c r="B39" s="9" t="s">
        <v>89</v>
      </c>
      <c r="C39" s="9" t="s">
        <v>18</v>
      </c>
      <c r="D39" s="9" t="s">
        <v>15</v>
      </c>
      <c r="E39" s="9">
        <v>80</v>
      </c>
      <c r="F39" s="9">
        <v>84</v>
      </c>
      <c r="G39" s="9">
        <v>78</v>
      </c>
      <c r="H39" s="9">
        <v>87</v>
      </c>
      <c r="I39" s="11">
        <v>0.93</v>
      </c>
      <c r="J39" s="9">
        <f t="shared" si="0"/>
        <v>329</v>
      </c>
      <c r="K39" s="11">
        <f t="shared" si="1"/>
        <v>0.82250000000000001</v>
      </c>
      <c r="L39" s="9" t="str">
        <f t="shared" si="2"/>
        <v>PASS</v>
      </c>
      <c r="M39" s="9" t="str">
        <f t="shared" si="3"/>
        <v>ELIGIBLE</v>
      </c>
      <c r="N39" s="9" t="str" cm="1">
        <f t="array" ref="N39">_xlfn.IFS(I39&gt;=95%,"EXCELLENT",I39&gt;=85%,"VERY GOOD",I39&gt;=75%,"GOOD",I39&gt;=65%,"IMPROVEMENT",I39&gt;=40%,"POOR",I39&gt;=0%,"WORST")</f>
        <v>VERY GOOD</v>
      </c>
    </row>
    <row r="40" spans="1:14" ht="20.25" hidden="1" customHeight="1">
      <c r="A40" s="9" t="s">
        <v>90</v>
      </c>
      <c r="B40" s="9" t="s">
        <v>91</v>
      </c>
      <c r="C40" s="9" t="s">
        <v>11</v>
      </c>
      <c r="D40" s="9" t="s">
        <v>12</v>
      </c>
      <c r="E40" s="9">
        <v>67</v>
      </c>
      <c r="F40" s="9">
        <v>72</v>
      </c>
      <c r="G40" s="9">
        <v>69</v>
      </c>
      <c r="H40" s="9">
        <v>74</v>
      </c>
      <c r="I40" s="11">
        <v>0.83</v>
      </c>
      <c r="J40" s="9">
        <f t="shared" si="0"/>
        <v>282</v>
      </c>
      <c r="K40" s="11">
        <f t="shared" si="1"/>
        <v>0.70499999999999996</v>
      </c>
      <c r="L40" s="9" t="str">
        <f t="shared" si="2"/>
        <v>PASS</v>
      </c>
      <c r="M40" s="9" t="str">
        <f t="shared" si="3"/>
        <v>ELIGIBLE</v>
      </c>
      <c r="N40" s="9" t="str" cm="1">
        <f t="array" ref="N40">_xlfn.IFS(I40&gt;=95%,"EXCELLENT",I40&gt;=85%,"VERY GOOD",I40&gt;=75%,"GOOD",I40&gt;=65%,"IMPROVEMENT",I40&gt;=40%,"POOR",I40&gt;=0%,"WORST")</f>
        <v>GOOD</v>
      </c>
    </row>
    <row r="41" spans="1:14" ht="20.25" hidden="1" customHeight="1">
      <c r="A41" s="9" t="s">
        <v>92</v>
      </c>
      <c r="B41" s="9" t="s">
        <v>93</v>
      </c>
      <c r="C41" s="9" t="s">
        <v>21</v>
      </c>
      <c r="D41" s="9" t="s">
        <v>15</v>
      </c>
      <c r="E41" s="9">
        <v>90</v>
      </c>
      <c r="F41" s="9">
        <v>86</v>
      </c>
      <c r="G41" s="9">
        <v>92</v>
      </c>
      <c r="H41" s="9">
        <v>95</v>
      </c>
      <c r="I41" s="11">
        <v>0.97</v>
      </c>
      <c r="J41" s="9">
        <f t="shared" si="0"/>
        <v>363</v>
      </c>
      <c r="K41" s="11">
        <f t="shared" si="1"/>
        <v>0.90749999999999997</v>
      </c>
      <c r="L41" s="9" t="str">
        <f t="shared" si="2"/>
        <v>PASS</v>
      </c>
      <c r="M41" s="9" t="str">
        <f t="shared" si="3"/>
        <v>ELIGIBLE</v>
      </c>
      <c r="N41" s="9" t="str" cm="1">
        <f t="array" ref="N41">_xlfn.IFS(I41&gt;=95%,"EXCELLENT",I41&gt;=85%,"VERY GOOD",I41&gt;=75%,"GOOD",I41&gt;=65%,"IMPROVEMENT",I41&gt;=40%,"POOR",I41&gt;=0%,"WORST")</f>
        <v>EXCELLENT</v>
      </c>
    </row>
    <row r="42" spans="1:14" ht="20.25" hidden="1" customHeight="1">
      <c r="A42" s="9" t="s">
        <v>94</v>
      </c>
      <c r="B42" s="9" t="s">
        <v>95</v>
      </c>
      <c r="C42" s="9" t="s">
        <v>18</v>
      </c>
      <c r="D42" s="9" t="s">
        <v>12</v>
      </c>
      <c r="E42" s="9">
        <v>57</v>
      </c>
      <c r="F42" s="9">
        <v>64</v>
      </c>
      <c r="G42" s="9">
        <v>61</v>
      </c>
      <c r="H42" s="9">
        <v>68</v>
      </c>
      <c r="I42" s="11">
        <v>0.78</v>
      </c>
      <c r="J42" s="9">
        <f t="shared" si="0"/>
        <v>250</v>
      </c>
      <c r="K42" s="11">
        <f t="shared" si="1"/>
        <v>0.625</v>
      </c>
      <c r="L42" s="9" t="str">
        <f t="shared" si="2"/>
        <v>PASS</v>
      </c>
      <c r="M42" s="9" t="str">
        <f t="shared" si="3"/>
        <v>ELIGIBLE</v>
      </c>
      <c r="N42" s="9" t="str" cm="1">
        <f t="array" ref="N42">_xlfn.IFS(I42&gt;=95%,"EXCELLENT",I42&gt;=85%,"VERY GOOD",I42&gt;=75%,"GOOD",I42&gt;=65%,"IMPROVEMENT",I42&gt;=40%,"POOR",I42&gt;=0%,"WORST")</f>
        <v>GOOD</v>
      </c>
    </row>
    <row r="43" spans="1:14" ht="20.25" hidden="1" customHeight="1">
      <c r="A43" s="9" t="s">
        <v>96</v>
      </c>
      <c r="B43" s="9" t="s">
        <v>97</v>
      </c>
      <c r="C43" s="9" t="s">
        <v>11</v>
      </c>
      <c r="D43" s="9" t="s">
        <v>15</v>
      </c>
      <c r="E43" s="9">
        <v>83</v>
      </c>
      <c r="F43" s="9">
        <v>80</v>
      </c>
      <c r="G43" s="9">
        <v>86</v>
      </c>
      <c r="H43" s="9">
        <v>88</v>
      </c>
      <c r="I43" s="11">
        <v>0.92</v>
      </c>
      <c r="J43" s="9">
        <f t="shared" si="0"/>
        <v>337</v>
      </c>
      <c r="K43" s="11">
        <f t="shared" si="1"/>
        <v>0.84250000000000003</v>
      </c>
      <c r="L43" s="9" t="str">
        <f t="shared" si="2"/>
        <v>PASS</v>
      </c>
      <c r="M43" s="9" t="str">
        <f t="shared" si="3"/>
        <v>ELIGIBLE</v>
      </c>
      <c r="N43" s="9" t="str" cm="1">
        <f t="array" ref="N43">_xlfn.IFS(I43&gt;=95%,"EXCELLENT",I43&gt;=85%,"VERY GOOD",I43&gt;=75%,"GOOD",I43&gt;=65%,"IMPROVEMENT",I43&gt;=40%,"POOR",I43&gt;=0%,"WORST")</f>
        <v>VERY GOOD</v>
      </c>
    </row>
    <row r="44" spans="1:14" ht="20.25" hidden="1" customHeight="1">
      <c r="A44" s="9" t="s">
        <v>98</v>
      </c>
      <c r="B44" s="9" t="s">
        <v>99</v>
      </c>
      <c r="C44" s="9" t="s">
        <v>21</v>
      </c>
      <c r="D44" s="9" t="s">
        <v>12</v>
      </c>
      <c r="E44" s="9">
        <v>46</v>
      </c>
      <c r="F44" s="9">
        <v>53</v>
      </c>
      <c r="G44" s="9">
        <v>49</v>
      </c>
      <c r="H44" s="9">
        <v>57</v>
      </c>
      <c r="I44" s="11">
        <v>0.7</v>
      </c>
      <c r="J44" s="9">
        <f t="shared" si="0"/>
        <v>205</v>
      </c>
      <c r="K44" s="11">
        <f t="shared" si="1"/>
        <v>0.51249999999999996</v>
      </c>
      <c r="L44" s="9" t="str">
        <f t="shared" si="2"/>
        <v>PASS</v>
      </c>
      <c r="M44" s="9" t="str">
        <f t="shared" si="3"/>
        <v>NOT ELIGIBLE</v>
      </c>
      <c r="N44" s="9" t="str" cm="1">
        <f t="array" ref="N44">_xlfn.IFS(I44&gt;=95%,"EXCELLENT",I44&gt;=85%,"VERY GOOD",I44&gt;=75%,"GOOD",I44&gt;=65%,"IMPROVEMENT",I44&gt;=40%,"POOR",I44&gt;=0%,"WORST")</f>
        <v>IMPROVEMENT</v>
      </c>
    </row>
    <row r="45" spans="1:14" ht="20.25" hidden="1" customHeight="1">
      <c r="A45" s="9" t="s">
        <v>100</v>
      </c>
      <c r="B45" s="9" t="s">
        <v>101</v>
      </c>
      <c r="C45" s="9" t="s">
        <v>18</v>
      </c>
      <c r="D45" s="9" t="s">
        <v>15</v>
      </c>
      <c r="E45" s="9">
        <v>75</v>
      </c>
      <c r="F45" s="9">
        <v>71</v>
      </c>
      <c r="G45" s="9">
        <v>79</v>
      </c>
      <c r="H45" s="9">
        <v>83</v>
      </c>
      <c r="I45" s="11">
        <v>0.88</v>
      </c>
      <c r="J45" s="9">
        <f t="shared" si="0"/>
        <v>308</v>
      </c>
      <c r="K45" s="11">
        <f t="shared" si="1"/>
        <v>0.77</v>
      </c>
      <c r="L45" s="9" t="str">
        <f t="shared" si="2"/>
        <v>PASS</v>
      </c>
      <c r="M45" s="9" t="str">
        <f t="shared" si="3"/>
        <v>ELIGIBLE</v>
      </c>
      <c r="N45" s="9" t="str" cm="1">
        <f t="array" ref="N45">_xlfn.IFS(I45&gt;=95%,"EXCELLENT",I45&gt;=85%,"VERY GOOD",I45&gt;=75%,"GOOD",I45&gt;=65%,"IMPROVEMENT",I45&gt;=40%,"POOR",I45&gt;=0%,"WORST")</f>
        <v>VERY GOOD</v>
      </c>
    </row>
    <row r="46" spans="1:14" ht="20.25" hidden="1" customHeight="1">
      <c r="A46" s="9" t="s">
        <v>102</v>
      </c>
      <c r="B46" s="9" t="s">
        <v>103</v>
      </c>
      <c r="C46" s="9" t="s">
        <v>11</v>
      </c>
      <c r="D46" s="9" t="s">
        <v>12</v>
      </c>
      <c r="E46" s="9">
        <v>87</v>
      </c>
      <c r="F46" s="9">
        <v>90</v>
      </c>
      <c r="G46" s="9">
        <v>84</v>
      </c>
      <c r="H46" s="9">
        <v>91</v>
      </c>
      <c r="I46" s="11">
        <v>0.95</v>
      </c>
      <c r="J46" s="9">
        <f t="shared" si="0"/>
        <v>352</v>
      </c>
      <c r="K46" s="11">
        <f t="shared" si="1"/>
        <v>0.88</v>
      </c>
      <c r="L46" s="9" t="str">
        <f t="shared" si="2"/>
        <v>PASS</v>
      </c>
      <c r="M46" s="9" t="str">
        <f t="shared" si="3"/>
        <v>ELIGIBLE</v>
      </c>
      <c r="N46" s="9" t="str" cm="1">
        <f t="array" ref="N46">_xlfn.IFS(I46&gt;=95%,"EXCELLENT",I46&gt;=85%,"VERY GOOD",I46&gt;=75%,"GOOD",I46&gt;=65%,"IMPROVEMENT",I46&gt;=40%,"POOR",I46&gt;=0%,"WORST")</f>
        <v>EXCELLENT</v>
      </c>
    </row>
    <row r="47" spans="1:14" ht="20.25" hidden="1" customHeight="1">
      <c r="A47" s="9" t="s">
        <v>104</v>
      </c>
      <c r="B47" s="9" t="s">
        <v>105</v>
      </c>
      <c r="C47" s="9" t="s">
        <v>21</v>
      </c>
      <c r="D47" s="9" t="s">
        <v>15</v>
      </c>
      <c r="E47" s="9">
        <v>69</v>
      </c>
      <c r="F47" s="9">
        <v>76</v>
      </c>
      <c r="G47" s="9">
        <v>72</v>
      </c>
      <c r="H47" s="9">
        <v>78</v>
      </c>
      <c r="I47" s="11">
        <v>0.86</v>
      </c>
      <c r="J47" s="9">
        <f t="shared" si="0"/>
        <v>295</v>
      </c>
      <c r="K47" s="11">
        <f t="shared" si="1"/>
        <v>0.73750000000000004</v>
      </c>
      <c r="L47" s="9" t="str">
        <f t="shared" si="2"/>
        <v>PASS</v>
      </c>
      <c r="M47" s="9" t="str">
        <f t="shared" si="3"/>
        <v>ELIGIBLE</v>
      </c>
      <c r="N47" s="9" t="str" cm="1">
        <f t="array" ref="N47">_xlfn.IFS(I47&gt;=95%,"EXCELLENT",I47&gt;=85%,"VERY GOOD",I47&gt;=75%,"GOOD",I47&gt;=65%,"IMPROVEMENT",I47&gt;=40%,"POOR",I47&gt;=0%,"WORST")</f>
        <v>VERY GOOD</v>
      </c>
    </row>
    <row r="48" spans="1:14" ht="20.25" customHeight="1">
      <c r="A48" s="9" t="s">
        <v>106</v>
      </c>
      <c r="B48" s="9" t="s">
        <v>107</v>
      </c>
      <c r="C48" s="9" t="s">
        <v>18</v>
      </c>
      <c r="D48" s="9" t="s">
        <v>12</v>
      </c>
      <c r="E48" s="9">
        <v>32</v>
      </c>
      <c r="F48" s="9">
        <v>39</v>
      </c>
      <c r="G48" s="9">
        <v>44</v>
      </c>
      <c r="H48" s="9">
        <v>47</v>
      </c>
      <c r="I48" s="11">
        <v>0.64</v>
      </c>
      <c r="J48" s="9">
        <f t="shared" si="0"/>
        <v>162</v>
      </c>
      <c r="K48" s="11">
        <f t="shared" si="1"/>
        <v>0.40500000000000003</v>
      </c>
      <c r="L48" s="9" t="str">
        <f t="shared" si="2"/>
        <v>FAIL</v>
      </c>
      <c r="M48" s="9" t="str">
        <f t="shared" si="3"/>
        <v>NOT ELIGIBLE</v>
      </c>
      <c r="N48" s="9" t="str" cm="1">
        <f t="array" ref="N48">_xlfn.IFS(I48&gt;=95%,"EXCELLENT",I48&gt;=85%,"VERY GOOD",I48&gt;=75%,"GOOD",I48&gt;=65%,"IMPROVEMENT",I48&gt;=40%,"POOR",I48&gt;=0%,"WORST")</f>
        <v>POOR</v>
      </c>
    </row>
    <row r="49" spans="1:14" ht="20.25" hidden="1" customHeight="1">
      <c r="A49" s="9" t="s">
        <v>108</v>
      </c>
      <c r="B49" s="9" t="s">
        <v>109</v>
      </c>
      <c r="C49" s="9" t="s">
        <v>11</v>
      </c>
      <c r="D49" s="9" t="s">
        <v>15</v>
      </c>
      <c r="E49" s="9">
        <v>94</v>
      </c>
      <c r="F49" s="9">
        <v>96</v>
      </c>
      <c r="G49" s="9">
        <v>91</v>
      </c>
      <c r="H49" s="9">
        <v>93</v>
      </c>
      <c r="I49" s="11">
        <v>0.99</v>
      </c>
      <c r="J49" s="9">
        <f t="shared" si="0"/>
        <v>374</v>
      </c>
      <c r="K49" s="11">
        <f t="shared" si="1"/>
        <v>0.93500000000000005</v>
      </c>
      <c r="L49" s="9" t="str">
        <f t="shared" si="2"/>
        <v>PASS</v>
      </c>
      <c r="M49" s="9" t="str">
        <f t="shared" si="3"/>
        <v>ELIGIBLE</v>
      </c>
      <c r="N49" s="9" t="str" cm="1">
        <f t="array" ref="N49">_xlfn.IFS(I49&gt;=95%,"EXCELLENT",I49&gt;=85%,"VERY GOOD",I49&gt;=75%,"GOOD",I49&gt;=65%,"IMPROVEMENT",I49&gt;=40%,"POOR",I49&gt;=0%,"WORST")</f>
        <v>EXCELLENT</v>
      </c>
    </row>
    <row r="50" spans="1:14" ht="20.25" hidden="1" customHeight="1">
      <c r="A50" s="9" t="s">
        <v>110</v>
      </c>
      <c r="B50" s="9" t="s">
        <v>111</v>
      </c>
      <c r="C50" s="9" t="s">
        <v>21</v>
      </c>
      <c r="D50" s="9" t="s">
        <v>12</v>
      </c>
      <c r="E50" s="9">
        <v>62</v>
      </c>
      <c r="F50" s="9">
        <v>68</v>
      </c>
      <c r="G50" s="9">
        <v>65</v>
      </c>
      <c r="H50" s="9">
        <v>73</v>
      </c>
      <c r="I50" s="11">
        <v>0.81</v>
      </c>
      <c r="J50" s="9">
        <f t="shared" si="0"/>
        <v>268</v>
      </c>
      <c r="K50" s="11">
        <f t="shared" si="1"/>
        <v>0.67</v>
      </c>
      <c r="L50" s="9" t="str">
        <f t="shared" si="2"/>
        <v>PASS</v>
      </c>
      <c r="M50" s="9" t="str">
        <f t="shared" si="3"/>
        <v>ELIGIBLE</v>
      </c>
      <c r="N50" s="9" t="str" cm="1">
        <f t="array" ref="N50">_xlfn.IFS(I50&gt;=95%,"EXCELLENT",I50&gt;=85%,"VERY GOOD",I50&gt;=75%,"GOOD",I50&gt;=65%,"IMPROVEMENT",I50&gt;=40%,"POOR",I50&gt;=0%,"WORST")</f>
        <v>GOOD</v>
      </c>
    </row>
    <row r="51" spans="1:14" ht="20.25" hidden="1" customHeight="1">
      <c r="A51" s="9" t="s">
        <v>112</v>
      </c>
      <c r="B51" s="9" t="s">
        <v>113</v>
      </c>
      <c r="C51" s="9" t="s">
        <v>18</v>
      </c>
      <c r="D51" s="9" t="s">
        <v>15</v>
      </c>
      <c r="E51" s="9">
        <v>78</v>
      </c>
      <c r="F51" s="9">
        <v>74</v>
      </c>
      <c r="G51" s="9">
        <v>82</v>
      </c>
      <c r="H51" s="9">
        <v>85</v>
      </c>
      <c r="I51" s="11">
        <v>0.9</v>
      </c>
      <c r="J51" s="9">
        <f t="shared" si="0"/>
        <v>319</v>
      </c>
      <c r="K51" s="11">
        <f t="shared" si="1"/>
        <v>0.79749999999999999</v>
      </c>
      <c r="L51" s="9" t="str">
        <f t="shared" si="2"/>
        <v>PASS</v>
      </c>
      <c r="M51" s="9" t="str">
        <f t="shared" si="3"/>
        <v>ELIGIBLE</v>
      </c>
      <c r="N51" s="9" t="str" cm="1">
        <f t="array" ref="N51">_xlfn.IFS(I51&gt;=95%,"EXCELLENT",I51&gt;=85%,"VERY GOOD",I51&gt;=75%,"GOOD",I51&gt;=65%,"IMPROVEMENT",I51&gt;=40%,"POOR",I51&gt;=0%,"WORST")</f>
        <v>VERY GOOD</v>
      </c>
    </row>
    <row r="52" spans="1:14" ht="20.25" hidden="1" customHeight="1">
      <c r="A52" s="9" t="s">
        <v>114</v>
      </c>
      <c r="B52" s="9" t="s">
        <v>115</v>
      </c>
      <c r="C52" s="9" t="s">
        <v>11</v>
      </c>
      <c r="D52" s="9" t="s">
        <v>12</v>
      </c>
      <c r="E52" s="9">
        <v>84</v>
      </c>
      <c r="F52" s="9">
        <v>89</v>
      </c>
      <c r="G52" s="9">
        <v>81</v>
      </c>
      <c r="H52" s="9">
        <v>86</v>
      </c>
      <c r="I52" s="11">
        <v>0.94</v>
      </c>
      <c r="J52" s="9">
        <f t="shared" si="0"/>
        <v>340</v>
      </c>
      <c r="K52" s="11">
        <f t="shared" si="1"/>
        <v>0.85</v>
      </c>
      <c r="L52" s="9" t="str">
        <f t="shared" si="2"/>
        <v>PASS</v>
      </c>
      <c r="M52" s="9" t="str">
        <f t="shared" si="3"/>
        <v>ELIGIBLE</v>
      </c>
      <c r="N52" s="9" t="str" cm="1">
        <f t="array" ref="N52">_xlfn.IFS(I52&gt;=95%,"EXCELLENT",I52&gt;=85%,"VERY GOOD",I52&gt;=75%,"GOOD",I52&gt;=65%,"IMPROVEMENT",I52&gt;=40%,"POOR",I52&gt;=0%,"WORST")</f>
        <v>VERY GOOD</v>
      </c>
    </row>
    <row r="53" spans="1:14" ht="20.25" hidden="1" customHeight="1">
      <c r="A53" s="9" t="s">
        <v>116</v>
      </c>
      <c r="B53" s="9" t="s">
        <v>117</v>
      </c>
      <c r="C53" s="9" t="s">
        <v>21</v>
      </c>
      <c r="D53" s="9" t="s">
        <v>15</v>
      </c>
      <c r="E53" s="9">
        <v>59</v>
      </c>
      <c r="F53" s="9">
        <v>63</v>
      </c>
      <c r="G53" s="9">
        <v>58</v>
      </c>
      <c r="H53" s="9">
        <v>66</v>
      </c>
      <c r="I53" s="11">
        <v>0.77</v>
      </c>
      <c r="J53" s="9">
        <f t="shared" si="0"/>
        <v>246</v>
      </c>
      <c r="K53" s="11">
        <f t="shared" si="1"/>
        <v>0.61499999999999999</v>
      </c>
      <c r="L53" s="9" t="str">
        <f t="shared" si="2"/>
        <v>PASS</v>
      </c>
      <c r="M53" s="9" t="str">
        <f t="shared" si="3"/>
        <v>ELIGIBLE</v>
      </c>
      <c r="N53" s="9" t="str" cm="1">
        <f t="array" ref="N53">_xlfn.IFS(I53&gt;=95%,"EXCELLENT",I53&gt;=85%,"VERY GOOD",I53&gt;=75%,"GOOD",I53&gt;=65%,"IMPROVEMENT",I53&gt;=40%,"POOR",I53&gt;=0%,"WORST")</f>
        <v>GOOD</v>
      </c>
    </row>
    <row r="54" spans="1:14" ht="20.25" hidden="1" customHeight="1">
      <c r="A54" s="9" t="s">
        <v>118</v>
      </c>
      <c r="B54" s="9" t="s">
        <v>119</v>
      </c>
      <c r="C54" s="9" t="s">
        <v>18</v>
      </c>
      <c r="D54" s="9" t="s">
        <v>12</v>
      </c>
      <c r="E54" s="9">
        <v>73</v>
      </c>
      <c r="F54" s="9">
        <v>70</v>
      </c>
      <c r="G54" s="9">
        <v>75</v>
      </c>
      <c r="H54" s="9">
        <v>79</v>
      </c>
      <c r="I54" s="11">
        <v>0.87</v>
      </c>
      <c r="J54" s="9">
        <f t="shared" si="0"/>
        <v>297</v>
      </c>
      <c r="K54" s="11">
        <f t="shared" si="1"/>
        <v>0.74250000000000005</v>
      </c>
      <c r="L54" s="9" t="str">
        <f t="shared" si="2"/>
        <v>PASS</v>
      </c>
      <c r="M54" s="9" t="str">
        <f t="shared" si="3"/>
        <v>ELIGIBLE</v>
      </c>
      <c r="N54" s="9" t="str" cm="1">
        <f t="array" ref="N54">_xlfn.IFS(I54&gt;=95%,"EXCELLENT",I54&gt;=85%,"VERY GOOD",I54&gt;=75%,"GOOD",I54&gt;=65%,"IMPROVEMENT",I54&gt;=40%,"POOR",I54&gt;=0%,"WORST")</f>
        <v>VERY GOOD</v>
      </c>
    </row>
    <row r="55" spans="1:14" ht="20.25" hidden="1" customHeight="1">
      <c r="A55" s="9" t="s">
        <v>120</v>
      </c>
      <c r="B55" s="9" t="s">
        <v>121</v>
      </c>
      <c r="C55" s="9" t="s">
        <v>11</v>
      </c>
      <c r="D55" s="9" t="s">
        <v>15</v>
      </c>
      <c r="E55" s="9">
        <v>91</v>
      </c>
      <c r="F55" s="9">
        <v>94</v>
      </c>
      <c r="G55" s="9">
        <v>89</v>
      </c>
      <c r="H55" s="9">
        <v>96</v>
      </c>
      <c r="I55" s="11">
        <v>0.98</v>
      </c>
      <c r="J55" s="9">
        <f t="shared" si="0"/>
        <v>370</v>
      </c>
      <c r="K55" s="11">
        <f t="shared" si="1"/>
        <v>0.92500000000000004</v>
      </c>
      <c r="L55" s="9" t="str">
        <f t="shared" si="2"/>
        <v>PASS</v>
      </c>
      <c r="M55" s="9" t="str">
        <f t="shared" si="3"/>
        <v>ELIGIBLE</v>
      </c>
      <c r="N55" s="9" t="str" cm="1">
        <f t="array" ref="N55">_xlfn.IFS(I55&gt;=95%,"EXCELLENT",I55&gt;=85%,"VERY GOOD",I55&gt;=75%,"GOOD",I55&gt;=65%,"IMPROVEMENT",I55&gt;=40%,"POOR",I55&gt;=0%,"WORST")</f>
        <v>EXCELLENT</v>
      </c>
    </row>
    <row r="56" spans="1:14" ht="20.25" hidden="1" customHeight="1">
      <c r="A56" s="9" t="s">
        <v>122</v>
      </c>
      <c r="B56" s="9" t="s">
        <v>123</v>
      </c>
      <c r="C56" s="9" t="s">
        <v>21</v>
      </c>
      <c r="D56" s="9" t="s">
        <v>12</v>
      </c>
      <c r="E56" s="9">
        <v>48</v>
      </c>
      <c r="F56" s="9">
        <v>55</v>
      </c>
      <c r="G56" s="9">
        <v>51</v>
      </c>
      <c r="H56" s="9">
        <v>59</v>
      </c>
      <c r="I56" s="11">
        <v>0.74</v>
      </c>
      <c r="J56" s="9">
        <f t="shared" si="0"/>
        <v>213</v>
      </c>
      <c r="K56" s="11">
        <f t="shared" si="1"/>
        <v>0.53249999999999997</v>
      </c>
      <c r="L56" s="9" t="str">
        <f t="shared" si="2"/>
        <v>PASS</v>
      </c>
      <c r="M56" s="9" t="str">
        <f t="shared" si="3"/>
        <v>NOT ELIGIBLE</v>
      </c>
      <c r="N56" s="9" t="str" cm="1">
        <f t="array" ref="N56">_xlfn.IFS(I56&gt;=95%,"EXCELLENT",I56&gt;=85%,"VERY GOOD",I56&gt;=75%,"GOOD",I56&gt;=65%,"IMPROVEMENT",I56&gt;=40%,"POOR",I56&gt;=0%,"WORST")</f>
        <v>IMPROVEMENT</v>
      </c>
    </row>
    <row r="57" spans="1:14" ht="20.25" hidden="1" customHeight="1">
      <c r="A57" s="9" t="s">
        <v>124</v>
      </c>
      <c r="B57" s="9" t="s">
        <v>125</v>
      </c>
      <c r="C57" s="9" t="s">
        <v>18</v>
      </c>
      <c r="D57" s="9" t="s">
        <v>15</v>
      </c>
      <c r="E57" s="9">
        <v>82</v>
      </c>
      <c r="F57" s="9">
        <v>78</v>
      </c>
      <c r="G57" s="9">
        <v>85</v>
      </c>
      <c r="H57" s="9">
        <v>90</v>
      </c>
      <c r="I57" s="11">
        <v>0.93</v>
      </c>
      <c r="J57" s="9">
        <f t="shared" si="0"/>
        <v>335</v>
      </c>
      <c r="K57" s="11">
        <f t="shared" si="1"/>
        <v>0.83750000000000002</v>
      </c>
      <c r="L57" s="9" t="str">
        <f t="shared" si="2"/>
        <v>PASS</v>
      </c>
      <c r="M57" s="9" t="str">
        <f t="shared" si="3"/>
        <v>ELIGIBLE</v>
      </c>
      <c r="N57" s="9" t="str" cm="1">
        <f t="array" ref="N57">_xlfn.IFS(I57&gt;=95%,"EXCELLENT",I57&gt;=85%,"VERY GOOD",I57&gt;=75%,"GOOD",I57&gt;=65%,"IMPROVEMENT",I57&gt;=40%,"POOR",I57&gt;=0%,"WORST")</f>
        <v>VERY GOOD</v>
      </c>
    </row>
    <row r="58" spans="1:14" ht="20.25" hidden="1" customHeight="1">
      <c r="A58" s="9" t="s">
        <v>126</v>
      </c>
      <c r="B58" s="9" t="s">
        <v>127</v>
      </c>
      <c r="C58" s="9" t="s">
        <v>11</v>
      </c>
      <c r="D58" s="9" t="s">
        <v>12</v>
      </c>
      <c r="E58" s="9">
        <v>66</v>
      </c>
      <c r="F58" s="9">
        <v>71</v>
      </c>
      <c r="G58" s="9">
        <v>68</v>
      </c>
      <c r="H58" s="9">
        <v>75</v>
      </c>
      <c r="I58" s="11">
        <v>0.84</v>
      </c>
      <c r="J58" s="9">
        <f t="shared" si="0"/>
        <v>280</v>
      </c>
      <c r="K58" s="11">
        <f t="shared" si="1"/>
        <v>0.7</v>
      </c>
      <c r="L58" s="9" t="str">
        <f t="shared" si="2"/>
        <v>PASS</v>
      </c>
      <c r="M58" s="9" t="str">
        <f t="shared" si="3"/>
        <v>ELIGIBLE</v>
      </c>
      <c r="N58" s="9" t="str" cm="1">
        <f t="array" ref="N58">_xlfn.IFS(I58&gt;=95%,"EXCELLENT",I58&gt;=85%,"VERY GOOD",I58&gt;=75%,"GOOD",I58&gt;=65%,"IMPROVEMENT",I58&gt;=40%,"POOR",I58&gt;=0%,"WORST")</f>
        <v>GOOD</v>
      </c>
    </row>
    <row r="59" spans="1:14" ht="20.25" hidden="1" customHeight="1">
      <c r="A59" s="9" t="s">
        <v>128</v>
      </c>
      <c r="B59" s="9" t="s">
        <v>129</v>
      </c>
      <c r="C59" s="9" t="s">
        <v>21</v>
      </c>
      <c r="D59" s="9" t="s">
        <v>15</v>
      </c>
      <c r="E59" s="9">
        <v>89</v>
      </c>
      <c r="F59" s="9">
        <v>85</v>
      </c>
      <c r="G59" s="9">
        <v>93</v>
      </c>
      <c r="H59" s="9">
        <v>92</v>
      </c>
      <c r="I59" s="11">
        <v>0.97</v>
      </c>
      <c r="J59" s="9">
        <f t="shared" si="0"/>
        <v>359</v>
      </c>
      <c r="K59" s="11">
        <f t="shared" si="1"/>
        <v>0.89749999999999996</v>
      </c>
      <c r="L59" s="9" t="str">
        <f t="shared" si="2"/>
        <v>PASS</v>
      </c>
      <c r="M59" s="9" t="str">
        <f t="shared" si="3"/>
        <v>ELIGIBLE</v>
      </c>
      <c r="N59" s="9" t="str" cm="1">
        <f t="array" ref="N59">_xlfn.IFS(I59&gt;=95%,"EXCELLENT",I59&gt;=85%,"VERY GOOD",I59&gt;=75%,"GOOD",I59&gt;=65%,"IMPROVEMENT",I59&gt;=40%,"POOR",I59&gt;=0%,"WORST")</f>
        <v>EXCELLENT</v>
      </c>
    </row>
    <row r="60" spans="1:14" ht="20.25" hidden="1" customHeight="1">
      <c r="A60" s="9" t="s">
        <v>130</v>
      </c>
      <c r="B60" s="9" t="s">
        <v>131</v>
      </c>
      <c r="C60" s="9" t="s">
        <v>18</v>
      </c>
      <c r="D60" s="9" t="s">
        <v>12</v>
      </c>
      <c r="E60" s="9">
        <v>55</v>
      </c>
      <c r="F60" s="9">
        <v>60</v>
      </c>
      <c r="G60" s="9">
        <v>53</v>
      </c>
      <c r="H60" s="9">
        <v>64</v>
      </c>
      <c r="I60" s="11">
        <v>0.76</v>
      </c>
      <c r="J60" s="9">
        <f t="shared" si="0"/>
        <v>232</v>
      </c>
      <c r="K60" s="11">
        <f t="shared" si="1"/>
        <v>0.57999999999999996</v>
      </c>
      <c r="L60" s="9" t="str">
        <f t="shared" si="2"/>
        <v>PASS</v>
      </c>
      <c r="M60" s="9" t="str">
        <f t="shared" si="3"/>
        <v>ELIGIBLE</v>
      </c>
      <c r="N60" s="9" t="str" cm="1">
        <f t="array" ref="N60">_xlfn.IFS(I60&gt;=95%,"EXCELLENT",I60&gt;=85%,"VERY GOOD",I60&gt;=75%,"GOOD",I60&gt;=65%,"IMPROVEMENT",I60&gt;=40%,"POOR",I60&gt;=0%,"WORST")</f>
        <v>GOOD</v>
      </c>
    </row>
    <row r="61" spans="1:14" ht="20.25" hidden="1" customHeight="1">
      <c r="A61" s="9" t="s">
        <v>132</v>
      </c>
      <c r="B61" s="9" t="s">
        <v>133</v>
      </c>
      <c r="C61" s="9" t="s">
        <v>11</v>
      </c>
      <c r="D61" s="9" t="s">
        <v>15</v>
      </c>
      <c r="E61" s="9">
        <v>76</v>
      </c>
      <c r="F61" s="9">
        <v>82</v>
      </c>
      <c r="G61" s="9">
        <v>79</v>
      </c>
      <c r="H61" s="9">
        <v>84</v>
      </c>
      <c r="I61" s="11">
        <v>0.91</v>
      </c>
      <c r="J61" s="9">
        <f t="shared" si="0"/>
        <v>321</v>
      </c>
      <c r="K61" s="11">
        <f t="shared" si="1"/>
        <v>0.80249999999999999</v>
      </c>
      <c r="L61" s="9" t="str">
        <f t="shared" si="2"/>
        <v>PASS</v>
      </c>
      <c r="M61" s="9" t="str">
        <f t="shared" si="3"/>
        <v>ELIGIBLE</v>
      </c>
      <c r="N61" s="9" t="str" cm="1">
        <f t="array" ref="N61">_xlfn.IFS(I61&gt;=95%,"EXCELLENT",I61&gt;=85%,"VERY GOOD",I61&gt;=75%,"GOOD",I61&gt;=65%,"IMPROVEMENT",I61&gt;=40%,"POOR",I61&gt;=0%,"WORST")</f>
        <v>VERY GOOD</v>
      </c>
    </row>
    <row r="62" spans="1:14" ht="20.25" hidden="1" customHeight="1">
      <c r="A62" s="9" t="s">
        <v>134</v>
      </c>
      <c r="B62" s="9" t="s">
        <v>135</v>
      </c>
      <c r="C62" s="9" t="s">
        <v>21</v>
      </c>
      <c r="D62" s="9" t="s">
        <v>12</v>
      </c>
      <c r="E62" s="9">
        <v>93</v>
      </c>
      <c r="F62" s="9">
        <v>90</v>
      </c>
      <c r="G62" s="9">
        <v>95</v>
      </c>
      <c r="H62" s="9">
        <v>97</v>
      </c>
      <c r="I62" s="11">
        <v>0.99</v>
      </c>
      <c r="J62" s="9">
        <f t="shared" si="0"/>
        <v>375</v>
      </c>
      <c r="K62" s="11">
        <f t="shared" si="1"/>
        <v>0.9375</v>
      </c>
      <c r="L62" s="9" t="str">
        <f t="shared" si="2"/>
        <v>PASS</v>
      </c>
      <c r="M62" s="9" t="str">
        <f t="shared" si="3"/>
        <v>ELIGIBLE</v>
      </c>
      <c r="N62" s="9" t="str" cm="1">
        <f t="array" ref="N62">_xlfn.IFS(I62&gt;=95%,"EXCELLENT",I62&gt;=85%,"VERY GOOD",I62&gt;=75%,"GOOD",I62&gt;=65%,"IMPROVEMENT",I62&gt;=40%,"POOR",I62&gt;=0%,"WORST")</f>
        <v>EXCELLENT</v>
      </c>
    </row>
    <row r="63" spans="1:14" ht="20.25" hidden="1" customHeight="1">
      <c r="A63" s="9" t="s">
        <v>136</v>
      </c>
      <c r="B63" s="9" t="s">
        <v>137</v>
      </c>
      <c r="C63" s="9" t="s">
        <v>18</v>
      </c>
      <c r="D63" s="9" t="s">
        <v>15</v>
      </c>
      <c r="E63" s="9">
        <v>71</v>
      </c>
      <c r="F63" s="9">
        <v>67</v>
      </c>
      <c r="G63" s="9">
        <v>73</v>
      </c>
      <c r="H63" s="9">
        <v>77</v>
      </c>
      <c r="I63" s="11">
        <v>0.85</v>
      </c>
      <c r="J63" s="9">
        <f t="shared" si="0"/>
        <v>288</v>
      </c>
      <c r="K63" s="11">
        <f t="shared" si="1"/>
        <v>0.72</v>
      </c>
      <c r="L63" s="9" t="str">
        <f t="shared" si="2"/>
        <v>PASS</v>
      </c>
      <c r="M63" s="9" t="str">
        <f t="shared" si="3"/>
        <v>ELIGIBLE</v>
      </c>
      <c r="N63" s="9" t="str" cm="1">
        <f t="array" ref="N63">_xlfn.IFS(I63&gt;=95%,"EXCELLENT",I63&gt;=85%,"VERY GOOD",I63&gt;=75%,"GOOD",I63&gt;=65%,"IMPROVEMENT",I63&gt;=40%,"POOR",I63&gt;=0%,"WORST")</f>
        <v>VERY GOOD</v>
      </c>
    </row>
    <row r="64" spans="1:14" ht="20.25" hidden="1" customHeight="1">
      <c r="A64" s="9" t="s">
        <v>138</v>
      </c>
      <c r="B64" s="9" t="s">
        <v>139</v>
      </c>
      <c r="C64" s="9" t="s">
        <v>11</v>
      </c>
      <c r="D64" s="9" t="s">
        <v>12</v>
      </c>
      <c r="E64" s="9">
        <v>45</v>
      </c>
      <c r="F64" s="9">
        <v>50</v>
      </c>
      <c r="G64" s="9">
        <v>47</v>
      </c>
      <c r="H64" s="9">
        <v>56</v>
      </c>
      <c r="I64" s="11">
        <v>0.72</v>
      </c>
      <c r="J64" s="9">
        <f t="shared" si="0"/>
        <v>198</v>
      </c>
      <c r="K64" s="11">
        <f t="shared" si="1"/>
        <v>0.495</v>
      </c>
      <c r="L64" s="9" t="str">
        <f t="shared" si="2"/>
        <v>PASS</v>
      </c>
      <c r="M64" s="9" t="str">
        <f t="shared" si="3"/>
        <v>NOT ELIGIBLE</v>
      </c>
      <c r="N64" s="9" t="str" cm="1">
        <f t="array" ref="N64">_xlfn.IFS(I64&gt;=95%,"EXCELLENT",I64&gt;=85%,"VERY GOOD",I64&gt;=75%,"GOOD",I64&gt;=65%,"IMPROVEMENT",I64&gt;=40%,"POOR",I64&gt;=0%,"WORST")</f>
        <v>IMPROVEMENT</v>
      </c>
    </row>
    <row r="65" spans="1:14" ht="20.25" hidden="1" customHeight="1">
      <c r="A65" s="9" t="s">
        <v>140</v>
      </c>
      <c r="B65" s="9" t="s">
        <v>141</v>
      </c>
      <c r="C65" s="9" t="s">
        <v>21</v>
      </c>
      <c r="D65" s="9" t="s">
        <v>15</v>
      </c>
      <c r="E65" s="9">
        <v>86</v>
      </c>
      <c r="F65" s="9">
        <v>91</v>
      </c>
      <c r="G65" s="9">
        <v>88</v>
      </c>
      <c r="H65" s="9">
        <v>94</v>
      </c>
      <c r="I65" s="11">
        <v>0.96</v>
      </c>
      <c r="J65" s="9">
        <f t="shared" si="0"/>
        <v>359</v>
      </c>
      <c r="K65" s="11">
        <f t="shared" si="1"/>
        <v>0.89749999999999996</v>
      </c>
      <c r="L65" s="9" t="str">
        <f t="shared" si="2"/>
        <v>PASS</v>
      </c>
      <c r="M65" s="9" t="str">
        <f t="shared" si="3"/>
        <v>ELIGIBLE</v>
      </c>
      <c r="N65" s="9" t="str" cm="1">
        <f t="array" ref="N65">_xlfn.IFS(I65&gt;=95%,"EXCELLENT",I65&gt;=85%,"VERY GOOD",I65&gt;=75%,"GOOD",I65&gt;=65%,"IMPROVEMENT",I65&gt;=40%,"POOR",I65&gt;=0%,"WORST")</f>
        <v>EXCELLENT</v>
      </c>
    </row>
    <row r="66" spans="1:14" ht="20.25" hidden="1" customHeight="1">
      <c r="A66" s="9" t="s">
        <v>142</v>
      </c>
      <c r="B66" s="9" t="s">
        <v>143</v>
      </c>
      <c r="C66" s="9" t="s">
        <v>18</v>
      </c>
      <c r="D66" s="9" t="s">
        <v>12</v>
      </c>
      <c r="E66" s="9">
        <v>60</v>
      </c>
      <c r="F66" s="9">
        <v>65</v>
      </c>
      <c r="G66" s="9">
        <v>62</v>
      </c>
      <c r="H66" s="9">
        <v>69</v>
      </c>
      <c r="I66" s="11">
        <v>0.8</v>
      </c>
      <c r="J66" s="9">
        <f t="shared" si="0"/>
        <v>256</v>
      </c>
      <c r="K66" s="11">
        <f t="shared" si="1"/>
        <v>0.64</v>
      </c>
      <c r="L66" s="9" t="str">
        <f t="shared" si="2"/>
        <v>PASS</v>
      </c>
      <c r="M66" s="9" t="str">
        <f t="shared" si="3"/>
        <v>ELIGIBLE</v>
      </c>
      <c r="N66" s="9" t="str" cm="1">
        <f t="array" ref="N66">_xlfn.IFS(I66&gt;=95%,"EXCELLENT",I66&gt;=85%,"VERY GOOD",I66&gt;=75%,"GOOD",I66&gt;=65%,"IMPROVEMENT",I66&gt;=40%,"POOR",I66&gt;=0%,"WORST")</f>
        <v>GOOD</v>
      </c>
    </row>
    <row r="67" spans="1:14" ht="20.25" hidden="1" customHeight="1">
      <c r="A67" s="9" t="s">
        <v>144</v>
      </c>
      <c r="B67" s="9" t="s">
        <v>145</v>
      </c>
      <c r="C67" s="9" t="s">
        <v>11</v>
      </c>
      <c r="D67" s="9" t="s">
        <v>15</v>
      </c>
      <c r="E67" s="9">
        <v>79</v>
      </c>
      <c r="F67" s="9">
        <v>84</v>
      </c>
      <c r="G67" s="9">
        <v>81</v>
      </c>
      <c r="H67" s="9">
        <v>87</v>
      </c>
      <c r="I67" s="11">
        <v>0.92</v>
      </c>
      <c r="J67" s="9">
        <f t="shared" ref="J67:J101" si="4">SUM(E67:H67)</f>
        <v>331</v>
      </c>
      <c r="K67" s="11">
        <f t="shared" ref="K67:K101" si="5">J67/400</f>
        <v>0.82750000000000001</v>
      </c>
      <c r="L67" s="9" t="str">
        <f t="shared" ref="L67:L101" si="6">IF(MIN(E67:H67)&gt;=40,"PASS","FAIL")</f>
        <v>PASS</v>
      </c>
      <c r="M67" s="9" t="str">
        <f t="shared" ref="M67:M101" si="7">IF(I67&gt;=75%,"ELIGIBLE","NOT ELIGIBLE")</f>
        <v>ELIGIBLE</v>
      </c>
      <c r="N67" s="9" t="str" cm="1">
        <f t="array" ref="N67">_xlfn.IFS(I67&gt;=95%,"EXCELLENT",I67&gt;=85%,"VERY GOOD",I67&gt;=75%,"GOOD",I67&gt;=65%,"IMPROVEMENT",I67&gt;=40%,"POOR",I67&gt;=0%,"WORST")</f>
        <v>VERY GOOD</v>
      </c>
    </row>
    <row r="68" spans="1:14" ht="20.25" hidden="1" customHeight="1">
      <c r="A68" s="9" t="s">
        <v>146</v>
      </c>
      <c r="B68" s="9" t="s">
        <v>147</v>
      </c>
      <c r="C68" s="9" t="s">
        <v>21</v>
      </c>
      <c r="D68" s="9" t="s">
        <v>12</v>
      </c>
      <c r="E68" s="9">
        <v>53</v>
      </c>
      <c r="F68" s="9">
        <v>57</v>
      </c>
      <c r="G68" s="9">
        <v>50</v>
      </c>
      <c r="H68" s="9">
        <v>61</v>
      </c>
      <c r="I68" s="11">
        <v>0.75</v>
      </c>
      <c r="J68" s="9">
        <f t="shared" si="4"/>
        <v>221</v>
      </c>
      <c r="K68" s="11">
        <f t="shared" si="5"/>
        <v>0.55249999999999999</v>
      </c>
      <c r="L68" s="9" t="str">
        <f t="shared" si="6"/>
        <v>PASS</v>
      </c>
      <c r="M68" s="9" t="str">
        <f t="shared" si="7"/>
        <v>ELIGIBLE</v>
      </c>
      <c r="N68" s="9" t="str" cm="1">
        <f t="array" ref="N68">_xlfn.IFS(I68&gt;=95%,"EXCELLENT",I68&gt;=85%,"VERY GOOD",I68&gt;=75%,"GOOD",I68&gt;=65%,"IMPROVEMENT",I68&gt;=40%,"POOR",I68&gt;=0%,"WORST")</f>
        <v>GOOD</v>
      </c>
    </row>
    <row r="69" spans="1:14" ht="20.25" hidden="1" customHeight="1">
      <c r="A69" s="9" t="s">
        <v>148</v>
      </c>
      <c r="B69" s="9" t="s">
        <v>149</v>
      </c>
      <c r="C69" s="9" t="s">
        <v>18</v>
      </c>
      <c r="D69" s="9" t="s">
        <v>15</v>
      </c>
      <c r="E69" s="9">
        <v>88</v>
      </c>
      <c r="F69" s="9">
        <v>92</v>
      </c>
      <c r="G69" s="9">
        <v>86</v>
      </c>
      <c r="H69" s="9">
        <v>90</v>
      </c>
      <c r="I69" s="11">
        <v>0.98</v>
      </c>
      <c r="J69" s="9">
        <f t="shared" si="4"/>
        <v>356</v>
      </c>
      <c r="K69" s="11">
        <f t="shared" si="5"/>
        <v>0.89</v>
      </c>
      <c r="L69" s="9" t="str">
        <f t="shared" si="6"/>
        <v>PASS</v>
      </c>
      <c r="M69" s="9" t="str">
        <f t="shared" si="7"/>
        <v>ELIGIBLE</v>
      </c>
      <c r="N69" s="9" t="str" cm="1">
        <f t="array" ref="N69">_xlfn.IFS(I69&gt;=95%,"EXCELLENT",I69&gt;=85%,"VERY GOOD",I69&gt;=75%,"GOOD",I69&gt;=65%,"IMPROVEMENT",I69&gt;=40%,"POOR",I69&gt;=0%,"WORST")</f>
        <v>EXCELLENT</v>
      </c>
    </row>
    <row r="70" spans="1:14" ht="20.25" hidden="1" customHeight="1">
      <c r="A70" s="9" t="s">
        <v>150</v>
      </c>
      <c r="B70" s="9" t="s">
        <v>151</v>
      </c>
      <c r="C70" s="9" t="s">
        <v>11</v>
      </c>
      <c r="D70" s="9" t="s">
        <v>12</v>
      </c>
      <c r="E70" s="9">
        <v>68</v>
      </c>
      <c r="F70" s="9">
        <v>74</v>
      </c>
      <c r="G70" s="9">
        <v>71</v>
      </c>
      <c r="H70" s="9">
        <v>76</v>
      </c>
      <c r="I70" s="11">
        <v>0.83</v>
      </c>
      <c r="J70" s="9">
        <f t="shared" si="4"/>
        <v>289</v>
      </c>
      <c r="K70" s="11">
        <f t="shared" si="5"/>
        <v>0.72250000000000003</v>
      </c>
      <c r="L70" s="9" t="str">
        <f t="shared" si="6"/>
        <v>PASS</v>
      </c>
      <c r="M70" s="9" t="str">
        <f t="shared" si="7"/>
        <v>ELIGIBLE</v>
      </c>
      <c r="N70" s="9" t="str" cm="1">
        <f t="array" ref="N70">_xlfn.IFS(I70&gt;=95%,"EXCELLENT",I70&gt;=85%,"VERY GOOD",I70&gt;=75%,"GOOD",I70&gt;=65%,"IMPROVEMENT",I70&gt;=40%,"POOR",I70&gt;=0%,"WORST")</f>
        <v>GOOD</v>
      </c>
    </row>
    <row r="71" spans="1:14" ht="20.25" hidden="1" customHeight="1">
      <c r="A71" s="9" t="s">
        <v>152</v>
      </c>
      <c r="B71" s="9" t="s">
        <v>153</v>
      </c>
      <c r="C71" s="9" t="s">
        <v>21</v>
      </c>
      <c r="D71" s="9" t="s">
        <v>15</v>
      </c>
      <c r="E71" s="9">
        <v>95</v>
      </c>
      <c r="F71" s="9">
        <v>89</v>
      </c>
      <c r="G71" s="9">
        <v>94</v>
      </c>
      <c r="H71" s="9">
        <v>96</v>
      </c>
      <c r="I71" s="11">
        <v>0.99</v>
      </c>
      <c r="J71" s="9">
        <f t="shared" si="4"/>
        <v>374</v>
      </c>
      <c r="K71" s="11">
        <f t="shared" si="5"/>
        <v>0.93500000000000005</v>
      </c>
      <c r="L71" s="9" t="str">
        <f t="shared" si="6"/>
        <v>PASS</v>
      </c>
      <c r="M71" s="9" t="str">
        <f t="shared" si="7"/>
        <v>ELIGIBLE</v>
      </c>
      <c r="N71" s="9" t="str" cm="1">
        <f t="array" ref="N71">_xlfn.IFS(I71&gt;=95%,"EXCELLENT",I71&gt;=85%,"VERY GOOD",I71&gt;=75%,"GOOD",I71&gt;=65%,"IMPROVEMENT",I71&gt;=40%,"POOR",I71&gt;=0%,"WORST")</f>
        <v>EXCELLENT</v>
      </c>
    </row>
    <row r="72" spans="1:14" ht="20.25" customHeight="1">
      <c r="A72" s="9" t="s">
        <v>154</v>
      </c>
      <c r="B72" s="9" t="s">
        <v>155</v>
      </c>
      <c r="C72" s="9" t="s">
        <v>18</v>
      </c>
      <c r="D72" s="9" t="s">
        <v>12</v>
      </c>
      <c r="E72" s="9">
        <v>39</v>
      </c>
      <c r="F72" s="9">
        <v>46</v>
      </c>
      <c r="G72" s="9">
        <v>42</v>
      </c>
      <c r="H72" s="9">
        <v>51</v>
      </c>
      <c r="I72" s="11">
        <v>0.68</v>
      </c>
      <c r="J72" s="9">
        <f t="shared" si="4"/>
        <v>178</v>
      </c>
      <c r="K72" s="11">
        <f t="shared" si="5"/>
        <v>0.44500000000000001</v>
      </c>
      <c r="L72" s="9" t="str">
        <f t="shared" si="6"/>
        <v>FAIL</v>
      </c>
      <c r="M72" s="9" t="str">
        <f t="shared" si="7"/>
        <v>NOT ELIGIBLE</v>
      </c>
      <c r="N72" s="9" t="str" cm="1">
        <f t="array" ref="N72">_xlfn.IFS(I72&gt;=95%,"EXCELLENT",I72&gt;=85%,"VERY GOOD",I72&gt;=75%,"GOOD",I72&gt;=65%,"IMPROVEMENT",I72&gt;=40%,"POOR",I72&gt;=0%,"WORST")</f>
        <v>IMPROVEMENT</v>
      </c>
    </row>
    <row r="73" spans="1:14" ht="20.25" hidden="1" customHeight="1">
      <c r="A73" s="9" t="s">
        <v>156</v>
      </c>
      <c r="B73" s="9" t="s">
        <v>157</v>
      </c>
      <c r="C73" s="9" t="s">
        <v>11</v>
      </c>
      <c r="D73" s="9" t="s">
        <v>15</v>
      </c>
      <c r="E73" s="9">
        <v>81</v>
      </c>
      <c r="F73" s="9">
        <v>86</v>
      </c>
      <c r="G73" s="9">
        <v>83</v>
      </c>
      <c r="H73" s="9">
        <v>88</v>
      </c>
      <c r="I73" s="11">
        <v>0.94</v>
      </c>
      <c r="J73" s="9">
        <f t="shared" si="4"/>
        <v>338</v>
      </c>
      <c r="K73" s="11">
        <f t="shared" si="5"/>
        <v>0.84499999999999997</v>
      </c>
      <c r="L73" s="9" t="str">
        <f t="shared" si="6"/>
        <v>PASS</v>
      </c>
      <c r="M73" s="9" t="str">
        <f t="shared" si="7"/>
        <v>ELIGIBLE</v>
      </c>
      <c r="N73" s="9" t="str" cm="1">
        <f t="array" ref="N73">_xlfn.IFS(I73&gt;=95%,"EXCELLENT",I73&gt;=85%,"VERY GOOD",I73&gt;=75%,"GOOD",I73&gt;=65%,"IMPROVEMENT",I73&gt;=40%,"POOR",I73&gt;=0%,"WORST")</f>
        <v>VERY GOOD</v>
      </c>
    </row>
    <row r="74" spans="1:14" ht="20.25" hidden="1" customHeight="1">
      <c r="A74" s="9" t="s">
        <v>158</v>
      </c>
      <c r="B74" s="9" t="s">
        <v>159</v>
      </c>
      <c r="C74" s="9" t="s">
        <v>21</v>
      </c>
      <c r="D74" s="9" t="s">
        <v>12</v>
      </c>
      <c r="E74" s="9">
        <v>74</v>
      </c>
      <c r="F74" s="9">
        <v>69</v>
      </c>
      <c r="G74" s="9">
        <v>77</v>
      </c>
      <c r="H74" s="9">
        <v>82</v>
      </c>
      <c r="I74" s="11">
        <v>0.89</v>
      </c>
      <c r="J74" s="9">
        <f t="shared" si="4"/>
        <v>302</v>
      </c>
      <c r="K74" s="11">
        <f t="shared" si="5"/>
        <v>0.755</v>
      </c>
      <c r="L74" s="9" t="str">
        <f t="shared" si="6"/>
        <v>PASS</v>
      </c>
      <c r="M74" s="9" t="str">
        <f t="shared" si="7"/>
        <v>ELIGIBLE</v>
      </c>
      <c r="N74" s="9" t="str" cm="1">
        <f t="array" ref="N74">_xlfn.IFS(I74&gt;=95%,"EXCELLENT",I74&gt;=85%,"VERY GOOD",I74&gt;=75%,"GOOD",I74&gt;=65%,"IMPROVEMENT",I74&gt;=40%,"POOR",I74&gt;=0%,"WORST")</f>
        <v>VERY GOOD</v>
      </c>
    </row>
    <row r="75" spans="1:14" ht="20.25" hidden="1" customHeight="1">
      <c r="A75" s="9" t="s">
        <v>160</v>
      </c>
      <c r="B75" s="9" t="s">
        <v>161</v>
      </c>
      <c r="C75" s="9" t="s">
        <v>18</v>
      </c>
      <c r="D75" s="9" t="s">
        <v>15</v>
      </c>
      <c r="E75" s="9">
        <v>92</v>
      </c>
      <c r="F75" s="9">
        <v>96</v>
      </c>
      <c r="G75" s="9">
        <v>91</v>
      </c>
      <c r="H75" s="9">
        <v>95</v>
      </c>
      <c r="I75" s="11">
        <v>0.98</v>
      </c>
      <c r="J75" s="9">
        <f t="shared" si="4"/>
        <v>374</v>
      </c>
      <c r="K75" s="11">
        <f t="shared" si="5"/>
        <v>0.93500000000000005</v>
      </c>
      <c r="L75" s="9" t="str">
        <f t="shared" si="6"/>
        <v>PASS</v>
      </c>
      <c r="M75" s="9" t="str">
        <f t="shared" si="7"/>
        <v>ELIGIBLE</v>
      </c>
      <c r="N75" s="9" t="str" cm="1">
        <f t="array" ref="N75">_xlfn.IFS(I75&gt;=95%,"EXCELLENT",I75&gt;=85%,"VERY GOOD",I75&gt;=75%,"GOOD",I75&gt;=65%,"IMPROVEMENT",I75&gt;=40%,"POOR",I75&gt;=0%,"WORST")</f>
        <v>EXCELLENT</v>
      </c>
    </row>
    <row r="76" spans="1:14" ht="20.25" hidden="1" customHeight="1">
      <c r="A76" s="9" t="s">
        <v>162</v>
      </c>
      <c r="B76" s="9" t="s">
        <v>163</v>
      </c>
      <c r="C76" s="9" t="s">
        <v>11</v>
      </c>
      <c r="D76" s="9" t="s">
        <v>12</v>
      </c>
      <c r="E76" s="9">
        <v>58</v>
      </c>
      <c r="F76" s="9">
        <v>54</v>
      </c>
      <c r="G76" s="9">
        <v>60</v>
      </c>
      <c r="H76" s="9">
        <v>67</v>
      </c>
      <c r="I76" s="11">
        <v>0.78</v>
      </c>
      <c r="J76" s="9">
        <f t="shared" si="4"/>
        <v>239</v>
      </c>
      <c r="K76" s="11">
        <f t="shared" si="5"/>
        <v>0.59750000000000003</v>
      </c>
      <c r="L76" s="9" t="str">
        <f t="shared" si="6"/>
        <v>PASS</v>
      </c>
      <c r="M76" s="9" t="str">
        <f t="shared" si="7"/>
        <v>ELIGIBLE</v>
      </c>
      <c r="N76" s="9" t="str" cm="1">
        <f t="array" ref="N76">_xlfn.IFS(I76&gt;=95%,"EXCELLENT",I76&gt;=85%,"VERY GOOD",I76&gt;=75%,"GOOD",I76&gt;=65%,"IMPROVEMENT",I76&gt;=40%,"POOR",I76&gt;=0%,"WORST")</f>
        <v>GOOD</v>
      </c>
    </row>
    <row r="77" spans="1:14" ht="20.25" hidden="1" customHeight="1">
      <c r="A77" s="9" t="s">
        <v>164</v>
      </c>
      <c r="B77" s="9" t="s">
        <v>165</v>
      </c>
      <c r="C77" s="9" t="s">
        <v>21</v>
      </c>
      <c r="D77" s="9" t="s">
        <v>12</v>
      </c>
      <c r="E77" s="9">
        <v>77</v>
      </c>
      <c r="F77" s="9">
        <v>81</v>
      </c>
      <c r="G77" s="9">
        <v>75</v>
      </c>
      <c r="H77" s="9">
        <v>84</v>
      </c>
      <c r="I77" s="11">
        <v>0.9</v>
      </c>
      <c r="J77" s="9">
        <f t="shared" si="4"/>
        <v>317</v>
      </c>
      <c r="K77" s="11">
        <f t="shared" si="5"/>
        <v>0.79249999999999998</v>
      </c>
      <c r="L77" s="9" t="str">
        <f t="shared" si="6"/>
        <v>PASS</v>
      </c>
      <c r="M77" s="9" t="str">
        <f t="shared" si="7"/>
        <v>ELIGIBLE</v>
      </c>
      <c r="N77" s="9" t="str" cm="1">
        <f t="array" ref="N77">_xlfn.IFS(I77&gt;=95%,"EXCELLENT",I77&gt;=85%,"VERY GOOD",I77&gt;=75%,"GOOD",I77&gt;=65%,"IMPROVEMENT",I77&gt;=40%,"POOR",I77&gt;=0%,"WORST")</f>
        <v>VERY GOOD</v>
      </c>
    </row>
    <row r="78" spans="1:14" ht="20.25" hidden="1" customHeight="1">
      <c r="A78" s="9" t="s">
        <v>166</v>
      </c>
      <c r="B78" s="9" t="s">
        <v>167</v>
      </c>
      <c r="C78" s="9" t="s">
        <v>18</v>
      </c>
      <c r="D78" s="9" t="s">
        <v>15</v>
      </c>
      <c r="E78" s="9">
        <v>85</v>
      </c>
      <c r="F78" s="9">
        <v>88</v>
      </c>
      <c r="G78" s="9">
        <v>82</v>
      </c>
      <c r="H78" s="9">
        <v>91</v>
      </c>
      <c r="I78" s="11">
        <v>0.95</v>
      </c>
      <c r="J78" s="9">
        <f t="shared" si="4"/>
        <v>346</v>
      </c>
      <c r="K78" s="11">
        <f t="shared" si="5"/>
        <v>0.86499999999999999</v>
      </c>
      <c r="L78" s="9" t="str">
        <f t="shared" si="6"/>
        <v>PASS</v>
      </c>
      <c r="M78" s="9" t="str">
        <f t="shared" si="7"/>
        <v>ELIGIBLE</v>
      </c>
      <c r="N78" s="9" t="str" cm="1">
        <f t="array" ref="N78">_xlfn.IFS(I78&gt;=95%,"EXCELLENT",I78&gt;=85%,"VERY GOOD",I78&gt;=75%,"GOOD",I78&gt;=65%,"IMPROVEMENT",I78&gt;=40%,"POOR",I78&gt;=0%,"WORST")</f>
        <v>EXCELLENT</v>
      </c>
    </row>
    <row r="79" spans="1:14" ht="20.25" hidden="1" customHeight="1">
      <c r="A79" s="9" t="s">
        <v>168</v>
      </c>
      <c r="B79" s="9" t="s">
        <v>169</v>
      </c>
      <c r="C79" s="9" t="s">
        <v>11</v>
      </c>
      <c r="D79" s="9" t="s">
        <v>15</v>
      </c>
      <c r="E79" s="9">
        <v>70</v>
      </c>
      <c r="F79" s="9">
        <v>76</v>
      </c>
      <c r="G79" s="9">
        <v>73</v>
      </c>
      <c r="H79" s="9">
        <v>79</v>
      </c>
      <c r="I79" s="11">
        <v>0.86</v>
      </c>
      <c r="J79" s="9">
        <f t="shared" si="4"/>
        <v>298</v>
      </c>
      <c r="K79" s="11">
        <f t="shared" si="5"/>
        <v>0.745</v>
      </c>
      <c r="L79" s="9" t="str">
        <f t="shared" si="6"/>
        <v>PASS</v>
      </c>
      <c r="M79" s="9" t="str">
        <f t="shared" si="7"/>
        <v>ELIGIBLE</v>
      </c>
      <c r="N79" s="9" t="str" cm="1">
        <f t="array" ref="N79">_xlfn.IFS(I79&gt;=95%,"EXCELLENT",I79&gt;=85%,"VERY GOOD",I79&gt;=75%,"GOOD",I79&gt;=65%,"IMPROVEMENT",I79&gt;=40%,"POOR",I79&gt;=0%,"WORST")</f>
        <v>VERY GOOD</v>
      </c>
    </row>
    <row r="80" spans="1:14" ht="20.25" hidden="1" customHeight="1">
      <c r="A80" s="9" t="s">
        <v>170</v>
      </c>
      <c r="B80" s="9" t="s">
        <v>171</v>
      </c>
      <c r="C80" s="9" t="s">
        <v>21</v>
      </c>
      <c r="D80" s="9" t="s">
        <v>12</v>
      </c>
      <c r="E80" s="9">
        <v>43</v>
      </c>
      <c r="F80" s="9">
        <v>49</v>
      </c>
      <c r="G80" s="9">
        <v>45</v>
      </c>
      <c r="H80" s="9">
        <v>54</v>
      </c>
      <c r="I80" s="11">
        <v>0.7</v>
      </c>
      <c r="J80" s="9">
        <f t="shared" si="4"/>
        <v>191</v>
      </c>
      <c r="K80" s="11">
        <f t="shared" si="5"/>
        <v>0.47749999999999998</v>
      </c>
      <c r="L80" s="9" t="str">
        <f t="shared" si="6"/>
        <v>PASS</v>
      </c>
      <c r="M80" s="9" t="str">
        <f t="shared" si="7"/>
        <v>NOT ELIGIBLE</v>
      </c>
      <c r="N80" s="9" t="str" cm="1">
        <f t="array" ref="N80">_xlfn.IFS(I80&gt;=95%,"EXCELLENT",I80&gt;=85%,"VERY GOOD",I80&gt;=75%,"GOOD",I80&gt;=65%,"IMPROVEMENT",I80&gt;=40%,"POOR",I80&gt;=0%,"WORST")</f>
        <v>IMPROVEMENT</v>
      </c>
    </row>
    <row r="81" spans="1:14" ht="20.25" hidden="1" customHeight="1">
      <c r="A81" s="9" t="s">
        <v>172</v>
      </c>
      <c r="B81" s="9" t="s">
        <v>173</v>
      </c>
      <c r="C81" s="9" t="s">
        <v>18</v>
      </c>
      <c r="D81" s="9" t="s">
        <v>15</v>
      </c>
      <c r="E81" s="9">
        <v>90</v>
      </c>
      <c r="F81" s="9">
        <v>87</v>
      </c>
      <c r="G81" s="9">
        <v>93</v>
      </c>
      <c r="H81" s="9">
        <v>96</v>
      </c>
      <c r="I81" s="11">
        <v>0.98</v>
      </c>
      <c r="J81" s="9">
        <f t="shared" si="4"/>
        <v>366</v>
      </c>
      <c r="K81" s="11">
        <f t="shared" si="5"/>
        <v>0.91500000000000004</v>
      </c>
      <c r="L81" s="9" t="str">
        <f t="shared" si="6"/>
        <v>PASS</v>
      </c>
      <c r="M81" s="9" t="str">
        <f t="shared" si="7"/>
        <v>ELIGIBLE</v>
      </c>
      <c r="N81" s="9" t="str" cm="1">
        <f t="array" ref="N81">_xlfn.IFS(I81&gt;=95%,"EXCELLENT",I81&gt;=85%,"VERY GOOD",I81&gt;=75%,"GOOD",I81&gt;=65%,"IMPROVEMENT",I81&gt;=40%,"POOR",I81&gt;=0%,"WORST")</f>
        <v>EXCELLENT</v>
      </c>
    </row>
    <row r="82" spans="1:14" ht="20.25" hidden="1" customHeight="1">
      <c r="A82" s="9" t="s">
        <v>174</v>
      </c>
      <c r="B82" s="9" t="s">
        <v>175</v>
      </c>
      <c r="C82" s="9" t="s">
        <v>11</v>
      </c>
      <c r="D82" s="9" t="s">
        <v>12</v>
      </c>
      <c r="E82" s="9">
        <v>64</v>
      </c>
      <c r="F82" s="9">
        <v>69</v>
      </c>
      <c r="G82" s="9">
        <v>66</v>
      </c>
      <c r="H82" s="9">
        <v>72</v>
      </c>
      <c r="I82" s="11">
        <v>0.82</v>
      </c>
      <c r="J82" s="9">
        <f t="shared" si="4"/>
        <v>271</v>
      </c>
      <c r="K82" s="11">
        <f t="shared" si="5"/>
        <v>0.67749999999999999</v>
      </c>
      <c r="L82" s="9" t="str">
        <f t="shared" si="6"/>
        <v>PASS</v>
      </c>
      <c r="M82" s="9" t="str">
        <f t="shared" si="7"/>
        <v>ELIGIBLE</v>
      </c>
      <c r="N82" s="9" t="str" cm="1">
        <f t="array" ref="N82">_xlfn.IFS(I82&gt;=95%,"EXCELLENT",I82&gt;=85%,"VERY GOOD",I82&gt;=75%,"GOOD",I82&gt;=65%,"IMPROVEMENT",I82&gt;=40%,"POOR",I82&gt;=0%,"WORST")</f>
        <v>GOOD</v>
      </c>
    </row>
    <row r="83" spans="1:14" ht="20.25" hidden="1" customHeight="1">
      <c r="A83" s="9" t="s">
        <v>176</v>
      </c>
      <c r="B83" s="9" t="s">
        <v>177</v>
      </c>
      <c r="C83" s="9" t="s">
        <v>21</v>
      </c>
      <c r="D83" s="9" t="s">
        <v>15</v>
      </c>
      <c r="E83" s="9">
        <v>83</v>
      </c>
      <c r="F83" s="9">
        <v>79</v>
      </c>
      <c r="G83" s="9">
        <v>87</v>
      </c>
      <c r="H83" s="9">
        <v>89</v>
      </c>
      <c r="I83" s="11">
        <v>0.93</v>
      </c>
      <c r="J83" s="9">
        <f t="shared" si="4"/>
        <v>338</v>
      </c>
      <c r="K83" s="11">
        <f t="shared" si="5"/>
        <v>0.84499999999999997</v>
      </c>
      <c r="L83" s="9" t="str">
        <f t="shared" si="6"/>
        <v>PASS</v>
      </c>
      <c r="M83" s="9" t="str">
        <f t="shared" si="7"/>
        <v>ELIGIBLE</v>
      </c>
      <c r="N83" s="9" t="str" cm="1">
        <f t="array" ref="N83">_xlfn.IFS(I83&gt;=95%,"EXCELLENT",I83&gt;=85%,"VERY GOOD",I83&gt;=75%,"GOOD",I83&gt;=65%,"IMPROVEMENT",I83&gt;=40%,"POOR",I83&gt;=0%,"WORST")</f>
        <v>VERY GOOD</v>
      </c>
    </row>
    <row r="84" spans="1:14" ht="20.25" hidden="1" customHeight="1">
      <c r="A84" s="9" t="s">
        <v>178</v>
      </c>
      <c r="B84" s="9" t="s">
        <v>179</v>
      </c>
      <c r="C84" s="9" t="s">
        <v>18</v>
      </c>
      <c r="D84" s="9" t="s">
        <v>12</v>
      </c>
      <c r="E84" s="9">
        <v>51</v>
      </c>
      <c r="F84" s="9">
        <v>56</v>
      </c>
      <c r="G84" s="9">
        <v>54</v>
      </c>
      <c r="H84" s="9">
        <v>63</v>
      </c>
      <c r="I84" s="11">
        <v>0.76</v>
      </c>
      <c r="J84" s="9">
        <f t="shared" si="4"/>
        <v>224</v>
      </c>
      <c r="K84" s="11">
        <f t="shared" si="5"/>
        <v>0.56000000000000005</v>
      </c>
      <c r="L84" s="9" t="str">
        <f t="shared" si="6"/>
        <v>PASS</v>
      </c>
      <c r="M84" s="9" t="str">
        <f t="shared" si="7"/>
        <v>ELIGIBLE</v>
      </c>
      <c r="N84" s="9" t="str" cm="1">
        <f t="array" ref="N84">_xlfn.IFS(I84&gt;=95%,"EXCELLENT",I84&gt;=85%,"VERY GOOD",I84&gt;=75%,"GOOD",I84&gt;=65%,"IMPROVEMENT",I84&gt;=40%,"POOR",I84&gt;=0%,"WORST")</f>
        <v>GOOD</v>
      </c>
    </row>
    <row r="85" spans="1:14" ht="20.25" hidden="1" customHeight="1">
      <c r="A85" s="9" t="s">
        <v>180</v>
      </c>
      <c r="B85" s="9" t="s">
        <v>181</v>
      </c>
      <c r="C85" s="9" t="s">
        <v>11</v>
      </c>
      <c r="D85" s="9" t="s">
        <v>15</v>
      </c>
      <c r="E85" s="9">
        <v>96</v>
      </c>
      <c r="F85" s="9">
        <v>94</v>
      </c>
      <c r="G85" s="9">
        <v>97</v>
      </c>
      <c r="H85" s="9">
        <v>98</v>
      </c>
      <c r="I85" s="11">
        <v>1</v>
      </c>
      <c r="J85" s="9">
        <f t="shared" si="4"/>
        <v>385</v>
      </c>
      <c r="K85" s="11">
        <f t="shared" si="5"/>
        <v>0.96250000000000002</v>
      </c>
      <c r="L85" s="9" t="str">
        <f t="shared" si="6"/>
        <v>PASS</v>
      </c>
      <c r="M85" s="9" t="str">
        <f t="shared" si="7"/>
        <v>ELIGIBLE</v>
      </c>
      <c r="N85" s="9" t="str" cm="1">
        <f t="array" ref="N85">_xlfn.IFS(I85&gt;=95%,"EXCELLENT",I85&gt;=85%,"VERY GOOD",I85&gt;=75%,"GOOD",I85&gt;=65%,"IMPROVEMENT",I85&gt;=40%,"POOR",I85&gt;=0%,"WORST")</f>
        <v>EXCELLENT</v>
      </c>
    </row>
    <row r="86" spans="1:14" ht="20.25" hidden="1" customHeight="1">
      <c r="A86" s="9" t="s">
        <v>182</v>
      </c>
      <c r="B86" s="9" t="s">
        <v>183</v>
      </c>
      <c r="C86" s="9" t="s">
        <v>21</v>
      </c>
      <c r="D86" s="9" t="s">
        <v>12</v>
      </c>
      <c r="E86" s="9">
        <v>72</v>
      </c>
      <c r="F86" s="9">
        <v>77</v>
      </c>
      <c r="G86" s="9">
        <v>70</v>
      </c>
      <c r="H86" s="9">
        <v>81</v>
      </c>
      <c r="I86" s="11">
        <v>0.88</v>
      </c>
      <c r="J86" s="9">
        <f t="shared" si="4"/>
        <v>300</v>
      </c>
      <c r="K86" s="11">
        <f t="shared" si="5"/>
        <v>0.75</v>
      </c>
      <c r="L86" s="9" t="str">
        <f t="shared" si="6"/>
        <v>PASS</v>
      </c>
      <c r="M86" s="9" t="str">
        <f t="shared" si="7"/>
        <v>ELIGIBLE</v>
      </c>
      <c r="N86" s="9" t="str" cm="1">
        <f t="array" ref="N86">_xlfn.IFS(I86&gt;=95%,"EXCELLENT",I86&gt;=85%,"VERY GOOD",I86&gt;=75%,"GOOD",I86&gt;=65%,"IMPROVEMENT",I86&gt;=40%,"POOR",I86&gt;=0%,"WORST")</f>
        <v>VERY GOOD</v>
      </c>
    </row>
    <row r="87" spans="1:14" ht="20.25" hidden="1" customHeight="1">
      <c r="A87" s="9" t="s">
        <v>184</v>
      </c>
      <c r="B87" s="9" t="s">
        <v>185</v>
      </c>
      <c r="C87" s="9" t="s">
        <v>18</v>
      </c>
      <c r="D87" s="9" t="s">
        <v>15</v>
      </c>
      <c r="E87" s="9">
        <v>79</v>
      </c>
      <c r="F87" s="9">
        <v>85</v>
      </c>
      <c r="G87" s="9">
        <v>82</v>
      </c>
      <c r="H87" s="9">
        <v>86</v>
      </c>
      <c r="I87" s="11">
        <v>0.92</v>
      </c>
      <c r="J87" s="9">
        <f t="shared" si="4"/>
        <v>332</v>
      </c>
      <c r="K87" s="11">
        <f t="shared" si="5"/>
        <v>0.83</v>
      </c>
      <c r="L87" s="9" t="str">
        <f t="shared" si="6"/>
        <v>PASS</v>
      </c>
      <c r="M87" s="9" t="str">
        <f t="shared" si="7"/>
        <v>ELIGIBLE</v>
      </c>
      <c r="N87" s="9" t="str" cm="1">
        <f t="array" ref="N87">_xlfn.IFS(I87&gt;=95%,"EXCELLENT",I87&gt;=85%,"VERY GOOD",I87&gt;=75%,"GOOD",I87&gt;=65%,"IMPROVEMENT",I87&gt;=40%,"POOR",I87&gt;=0%,"WORST")</f>
        <v>VERY GOOD</v>
      </c>
    </row>
    <row r="88" spans="1:14" ht="20.25" hidden="1" customHeight="1">
      <c r="A88" s="9" t="s">
        <v>186</v>
      </c>
      <c r="B88" s="9" t="s">
        <v>187</v>
      </c>
      <c r="C88" s="9" t="s">
        <v>11</v>
      </c>
      <c r="D88" s="9" t="s">
        <v>12</v>
      </c>
      <c r="E88" s="9">
        <v>46</v>
      </c>
      <c r="F88" s="9">
        <v>52</v>
      </c>
      <c r="G88" s="9">
        <v>48</v>
      </c>
      <c r="H88" s="9">
        <v>57</v>
      </c>
      <c r="I88" s="11">
        <v>0.73</v>
      </c>
      <c r="J88" s="9">
        <f t="shared" si="4"/>
        <v>203</v>
      </c>
      <c r="K88" s="11">
        <f t="shared" si="5"/>
        <v>0.50749999999999995</v>
      </c>
      <c r="L88" s="9" t="str">
        <f t="shared" si="6"/>
        <v>PASS</v>
      </c>
      <c r="M88" s="9" t="str">
        <f t="shared" si="7"/>
        <v>NOT ELIGIBLE</v>
      </c>
      <c r="N88" s="9" t="str" cm="1">
        <f t="array" ref="N88">_xlfn.IFS(I88&gt;=95%,"EXCELLENT",I88&gt;=85%,"VERY GOOD",I88&gt;=75%,"GOOD",I88&gt;=65%,"IMPROVEMENT",I88&gt;=40%,"POOR",I88&gt;=0%,"WORST")</f>
        <v>IMPROVEMENT</v>
      </c>
    </row>
    <row r="89" spans="1:14" ht="20.25" hidden="1" customHeight="1">
      <c r="A89" s="9" t="s">
        <v>188</v>
      </c>
      <c r="B89" s="9" t="s">
        <v>189</v>
      </c>
      <c r="C89" s="9" t="s">
        <v>21</v>
      </c>
      <c r="D89" s="9" t="s">
        <v>15</v>
      </c>
      <c r="E89" s="9">
        <v>87</v>
      </c>
      <c r="F89" s="9">
        <v>91</v>
      </c>
      <c r="G89" s="9">
        <v>89</v>
      </c>
      <c r="H89" s="9">
        <v>94</v>
      </c>
      <c r="I89" s="11">
        <v>0.97</v>
      </c>
      <c r="J89" s="9">
        <f t="shared" si="4"/>
        <v>361</v>
      </c>
      <c r="K89" s="11">
        <f t="shared" si="5"/>
        <v>0.90249999999999997</v>
      </c>
      <c r="L89" s="9" t="str">
        <f t="shared" si="6"/>
        <v>PASS</v>
      </c>
      <c r="M89" s="9" t="str">
        <f t="shared" si="7"/>
        <v>ELIGIBLE</v>
      </c>
      <c r="N89" s="9" t="str" cm="1">
        <f t="array" ref="N89">_xlfn.IFS(I89&gt;=95%,"EXCELLENT",I89&gt;=85%,"VERY GOOD",I89&gt;=75%,"GOOD",I89&gt;=65%,"IMPROVEMENT",I89&gt;=40%,"POOR",I89&gt;=0%,"WORST")</f>
        <v>EXCELLENT</v>
      </c>
    </row>
    <row r="90" spans="1:14" ht="20.25" hidden="1" customHeight="1">
      <c r="A90" s="9" t="s">
        <v>190</v>
      </c>
      <c r="B90" s="9" t="s">
        <v>191</v>
      </c>
      <c r="C90" s="9" t="s">
        <v>18</v>
      </c>
      <c r="D90" s="9" t="s">
        <v>12</v>
      </c>
      <c r="E90" s="9">
        <v>61</v>
      </c>
      <c r="F90" s="9">
        <v>66</v>
      </c>
      <c r="G90" s="9">
        <v>63</v>
      </c>
      <c r="H90" s="9">
        <v>71</v>
      </c>
      <c r="I90" s="11">
        <v>0.8</v>
      </c>
      <c r="J90" s="9">
        <f t="shared" si="4"/>
        <v>261</v>
      </c>
      <c r="K90" s="11">
        <f t="shared" si="5"/>
        <v>0.65249999999999997</v>
      </c>
      <c r="L90" s="9" t="str">
        <f t="shared" si="6"/>
        <v>PASS</v>
      </c>
      <c r="M90" s="9" t="str">
        <f t="shared" si="7"/>
        <v>ELIGIBLE</v>
      </c>
      <c r="N90" s="9" t="str" cm="1">
        <f t="array" ref="N90">_xlfn.IFS(I90&gt;=95%,"EXCELLENT",I90&gt;=85%,"VERY GOOD",I90&gt;=75%,"GOOD",I90&gt;=65%,"IMPROVEMENT",I90&gt;=40%,"POOR",I90&gt;=0%,"WORST")</f>
        <v>GOOD</v>
      </c>
    </row>
    <row r="91" spans="1:14" ht="20.25" hidden="1" customHeight="1">
      <c r="A91" s="9" t="s">
        <v>192</v>
      </c>
      <c r="B91" s="9" t="s">
        <v>193</v>
      </c>
      <c r="C91" s="9" t="s">
        <v>11</v>
      </c>
      <c r="D91" s="9" t="s">
        <v>15</v>
      </c>
      <c r="E91" s="9">
        <v>93</v>
      </c>
      <c r="F91" s="9">
        <v>95</v>
      </c>
      <c r="G91" s="9">
        <v>92</v>
      </c>
      <c r="H91" s="9">
        <v>97</v>
      </c>
      <c r="I91" s="11">
        <v>0.99</v>
      </c>
      <c r="J91" s="9">
        <f t="shared" si="4"/>
        <v>377</v>
      </c>
      <c r="K91" s="11">
        <f t="shared" si="5"/>
        <v>0.9425</v>
      </c>
      <c r="L91" s="9" t="str">
        <f t="shared" si="6"/>
        <v>PASS</v>
      </c>
      <c r="M91" s="9" t="str">
        <f t="shared" si="7"/>
        <v>ELIGIBLE</v>
      </c>
      <c r="N91" s="9" t="str" cm="1">
        <f t="array" ref="N91">_xlfn.IFS(I91&gt;=95%,"EXCELLENT",I91&gt;=85%,"VERY GOOD",I91&gt;=75%,"GOOD",I91&gt;=65%,"IMPROVEMENT",I91&gt;=40%,"POOR",I91&gt;=0%,"WORST")</f>
        <v>EXCELLENT</v>
      </c>
    </row>
    <row r="92" spans="1:14" ht="20.25" hidden="1" customHeight="1">
      <c r="A92" s="9" t="s">
        <v>194</v>
      </c>
      <c r="B92" s="9" t="s">
        <v>195</v>
      </c>
      <c r="C92" s="9" t="s">
        <v>21</v>
      </c>
      <c r="D92" s="9" t="s">
        <v>12</v>
      </c>
      <c r="E92" s="9">
        <v>56</v>
      </c>
      <c r="F92" s="9">
        <v>62</v>
      </c>
      <c r="G92" s="9">
        <v>58</v>
      </c>
      <c r="H92" s="9">
        <v>65</v>
      </c>
      <c r="I92" s="11">
        <v>0.77</v>
      </c>
      <c r="J92" s="9">
        <f t="shared" si="4"/>
        <v>241</v>
      </c>
      <c r="K92" s="11">
        <f t="shared" si="5"/>
        <v>0.60250000000000004</v>
      </c>
      <c r="L92" s="9" t="str">
        <f t="shared" si="6"/>
        <v>PASS</v>
      </c>
      <c r="M92" s="9" t="str">
        <f t="shared" si="7"/>
        <v>ELIGIBLE</v>
      </c>
      <c r="N92" s="9" t="str" cm="1">
        <f t="array" ref="N92">_xlfn.IFS(I92&gt;=95%,"EXCELLENT",I92&gt;=85%,"VERY GOOD",I92&gt;=75%,"GOOD",I92&gt;=65%,"IMPROVEMENT",I92&gt;=40%,"POOR",I92&gt;=0%,"WORST")</f>
        <v>GOOD</v>
      </c>
    </row>
    <row r="93" spans="1:14" ht="20.25" hidden="1" customHeight="1">
      <c r="A93" s="9" t="s">
        <v>196</v>
      </c>
      <c r="B93" s="9" t="s">
        <v>197</v>
      </c>
      <c r="C93" s="9" t="s">
        <v>18</v>
      </c>
      <c r="D93" s="9" t="s">
        <v>15</v>
      </c>
      <c r="E93" s="9">
        <v>82</v>
      </c>
      <c r="F93" s="9">
        <v>80</v>
      </c>
      <c r="G93" s="9">
        <v>85</v>
      </c>
      <c r="H93" s="9">
        <v>88</v>
      </c>
      <c r="I93" s="11">
        <v>0.94</v>
      </c>
      <c r="J93" s="9">
        <f t="shared" si="4"/>
        <v>335</v>
      </c>
      <c r="K93" s="11">
        <f t="shared" si="5"/>
        <v>0.83750000000000002</v>
      </c>
      <c r="L93" s="9" t="str">
        <f t="shared" si="6"/>
        <v>PASS</v>
      </c>
      <c r="M93" s="9" t="str">
        <f t="shared" si="7"/>
        <v>ELIGIBLE</v>
      </c>
      <c r="N93" s="9" t="str" cm="1">
        <f t="array" ref="N93">_xlfn.IFS(I93&gt;=95%,"EXCELLENT",I93&gt;=85%,"VERY GOOD",I93&gt;=75%,"GOOD",I93&gt;=65%,"IMPROVEMENT",I93&gt;=40%,"POOR",I93&gt;=0%,"WORST")</f>
        <v>VERY GOOD</v>
      </c>
    </row>
    <row r="94" spans="1:14" ht="20.25" hidden="1" customHeight="1">
      <c r="A94" s="9" t="s">
        <v>198</v>
      </c>
      <c r="B94" s="9" t="s">
        <v>199</v>
      </c>
      <c r="C94" s="9" t="s">
        <v>11</v>
      </c>
      <c r="D94" s="9" t="s">
        <v>12</v>
      </c>
      <c r="E94" s="9">
        <v>69</v>
      </c>
      <c r="F94" s="9">
        <v>73</v>
      </c>
      <c r="G94" s="9">
        <v>67</v>
      </c>
      <c r="H94" s="9">
        <v>76</v>
      </c>
      <c r="I94" s="11">
        <v>0.84</v>
      </c>
      <c r="J94" s="9">
        <f t="shared" si="4"/>
        <v>285</v>
      </c>
      <c r="K94" s="11">
        <f t="shared" si="5"/>
        <v>0.71250000000000002</v>
      </c>
      <c r="L94" s="9" t="str">
        <f t="shared" si="6"/>
        <v>PASS</v>
      </c>
      <c r="M94" s="9" t="str">
        <f t="shared" si="7"/>
        <v>ELIGIBLE</v>
      </c>
      <c r="N94" s="9" t="str" cm="1">
        <f t="array" ref="N94">_xlfn.IFS(I94&gt;=95%,"EXCELLENT",I94&gt;=85%,"VERY GOOD",I94&gt;=75%,"GOOD",I94&gt;=65%,"IMPROVEMENT",I94&gt;=40%,"POOR",I94&gt;=0%,"WORST")</f>
        <v>GOOD</v>
      </c>
    </row>
    <row r="95" spans="1:14" ht="20.25" hidden="1" customHeight="1">
      <c r="A95" s="9" t="s">
        <v>200</v>
      </c>
      <c r="B95" s="9" t="s">
        <v>201</v>
      </c>
      <c r="C95" s="9" t="s">
        <v>21</v>
      </c>
      <c r="D95" s="9" t="s">
        <v>15</v>
      </c>
      <c r="E95" s="9">
        <v>91</v>
      </c>
      <c r="F95" s="9">
        <v>89</v>
      </c>
      <c r="G95" s="9">
        <v>94</v>
      </c>
      <c r="H95" s="9">
        <v>96</v>
      </c>
      <c r="I95" s="11">
        <v>0.98</v>
      </c>
      <c r="J95" s="9">
        <f t="shared" si="4"/>
        <v>370</v>
      </c>
      <c r="K95" s="11">
        <f t="shared" si="5"/>
        <v>0.92500000000000004</v>
      </c>
      <c r="L95" s="9" t="str">
        <f t="shared" si="6"/>
        <v>PASS</v>
      </c>
      <c r="M95" s="9" t="str">
        <f t="shared" si="7"/>
        <v>ELIGIBLE</v>
      </c>
      <c r="N95" s="9" t="str" cm="1">
        <f t="array" ref="N95">_xlfn.IFS(I95&gt;=95%,"EXCELLENT",I95&gt;=85%,"VERY GOOD",I95&gt;=75%,"GOOD",I95&gt;=65%,"IMPROVEMENT",I95&gt;=40%,"POOR",I95&gt;=0%,"WORST")</f>
        <v>EXCELLENT</v>
      </c>
    </row>
    <row r="96" spans="1:14" ht="20.25" customHeight="1">
      <c r="A96" s="9" t="s">
        <v>202</v>
      </c>
      <c r="B96" s="9" t="s">
        <v>203</v>
      </c>
      <c r="C96" s="9" t="s">
        <v>18</v>
      </c>
      <c r="D96" s="9" t="s">
        <v>12</v>
      </c>
      <c r="E96" s="9">
        <v>37</v>
      </c>
      <c r="F96" s="9">
        <v>44</v>
      </c>
      <c r="G96" s="9">
        <v>41</v>
      </c>
      <c r="H96" s="9">
        <v>50</v>
      </c>
      <c r="I96" s="11">
        <v>0.67</v>
      </c>
      <c r="J96" s="9">
        <f t="shared" si="4"/>
        <v>172</v>
      </c>
      <c r="K96" s="11">
        <f t="shared" si="5"/>
        <v>0.43</v>
      </c>
      <c r="L96" s="9" t="str">
        <f t="shared" si="6"/>
        <v>FAIL</v>
      </c>
      <c r="M96" s="9" t="str">
        <f t="shared" si="7"/>
        <v>NOT ELIGIBLE</v>
      </c>
      <c r="N96" s="9" t="str" cm="1">
        <f t="array" ref="N96">_xlfn.IFS(I96&gt;=95%,"EXCELLENT",I96&gt;=85%,"VERY GOOD",I96&gt;=75%,"GOOD",I96&gt;=65%,"IMPROVEMENT",I96&gt;=40%,"POOR",I96&gt;=0%,"WORST")</f>
        <v>IMPROVEMENT</v>
      </c>
    </row>
    <row r="97" spans="1:14" ht="20.25" hidden="1" customHeight="1">
      <c r="A97" s="9" t="s">
        <v>204</v>
      </c>
      <c r="B97" s="9" t="s">
        <v>205</v>
      </c>
      <c r="C97" s="9" t="s">
        <v>11</v>
      </c>
      <c r="D97" s="9" t="s">
        <v>15</v>
      </c>
      <c r="E97" s="9">
        <v>76</v>
      </c>
      <c r="F97" s="9">
        <v>83</v>
      </c>
      <c r="G97" s="9">
        <v>78</v>
      </c>
      <c r="H97" s="9">
        <v>85</v>
      </c>
      <c r="I97" s="11">
        <v>0.91</v>
      </c>
      <c r="J97" s="9">
        <f t="shared" si="4"/>
        <v>322</v>
      </c>
      <c r="K97" s="11">
        <f t="shared" si="5"/>
        <v>0.80500000000000005</v>
      </c>
      <c r="L97" s="9" t="str">
        <f t="shared" si="6"/>
        <v>PASS</v>
      </c>
      <c r="M97" s="9" t="str">
        <f t="shared" si="7"/>
        <v>ELIGIBLE</v>
      </c>
      <c r="N97" s="9" t="str" cm="1">
        <f t="array" ref="N97">_xlfn.IFS(I97&gt;=95%,"EXCELLENT",I97&gt;=85%,"VERY GOOD",I97&gt;=75%,"GOOD",I97&gt;=65%,"IMPROVEMENT",I97&gt;=40%,"POOR",I97&gt;=0%,"WORST")</f>
        <v>VERY GOOD</v>
      </c>
    </row>
    <row r="98" spans="1:14" ht="20.25" hidden="1" customHeight="1">
      <c r="A98" s="9" t="s">
        <v>206</v>
      </c>
      <c r="B98" s="9" t="s">
        <v>207</v>
      </c>
      <c r="C98" s="9" t="s">
        <v>21</v>
      </c>
      <c r="D98" s="9" t="s">
        <v>12</v>
      </c>
      <c r="E98" s="9">
        <v>88</v>
      </c>
      <c r="F98" s="9">
        <v>86</v>
      </c>
      <c r="G98" s="9">
        <v>90</v>
      </c>
      <c r="H98" s="9">
        <v>92</v>
      </c>
      <c r="I98" s="11">
        <v>0.96</v>
      </c>
      <c r="J98" s="9">
        <f t="shared" si="4"/>
        <v>356</v>
      </c>
      <c r="K98" s="11">
        <f t="shared" si="5"/>
        <v>0.89</v>
      </c>
      <c r="L98" s="9" t="str">
        <f t="shared" si="6"/>
        <v>PASS</v>
      </c>
      <c r="M98" s="9" t="str">
        <f t="shared" si="7"/>
        <v>ELIGIBLE</v>
      </c>
      <c r="N98" s="9" t="str" cm="1">
        <f t="array" ref="N98">_xlfn.IFS(I98&gt;=95%,"EXCELLENT",I98&gt;=85%,"VERY GOOD",I98&gt;=75%,"GOOD",I98&gt;=65%,"IMPROVEMENT",I98&gt;=40%,"POOR",I98&gt;=0%,"WORST")</f>
        <v>EXCELLENT</v>
      </c>
    </row>
    <row r="99" spans="1:14" ht="20.25" hidden="1" customHeight="1">
      <c r="A99" s="9" t="s">
        <v>208</v>
      </c>
      <c r="B99" s="9" t="s">
        <v>209</v>
      </c>
      <c r="C99" s="9" t="s">
        <v>18</v>
      </c>
      <c r="D99" s="9" t="s">
        <v>15</v>
      </c>
      <c r="E99" s="9">
        <v>63</v>
      </c>
      <c r="F99" s="9">
        <v>70</v>
      </c>
      <c r="G99" s="9">
        <v>65</v>
      </c>
      <c r="H99" s="9">
        <v>73</v>
      </c>
      <c r="I99" s="11">
        <v>0.83</v>
      </c>
      <c r="J99" s="9">
        <f t="shared" si="4"/>
        <v>271</v>
      </c>
      <c r="K99" s="11">
        <f t="shared" si="5"/>
        <v>0.67749999999999999</v>
      </c>
      <c r="L99" s="9" t="str">
        <f t="shared" si="6"/>
        <v>PASS</v>
      </c>
      <c r="M99" s="9" t="str">
        <f t="shared" si="7"/>
        <v>ELIGIBLE</v>
      </c>
      <c r="N99" s="9" t="str" cm="1">
        <f t="array" ref="N99">_xlfn.IFS(I99&gt;=95%,"EXCELLENT",I99&gt;=85%,"VERY GOOD",I99&gt;=75%,"GOOD",I99&gt;=65%,"IMPROVEMENT",I99&gt;=40%,"POOR",I99&gt;=0%,"WORST")</f>
        <v>GOOD</v>
      </c>
    </row>
    <row r="100" spans="1:14" ht="20.25" hidden="1" customHeight="1">
      <c r="A100" s="9" t="s">
        <v>210</v>
      </c>
      <c r="B100" s="9" t="s">
        <v>211</v>
      </c>
      <c r="C100" s="9" t="s">
        <v>11</v>
      </c>
      <c r="D100" s="9" t="s">
        <v>12</v>
      </c>
      <c r="E100" s="9">
        <v>80</v>
      </c>
      <c r="F100" s="9">
        <v>78</v>
      </c>
      <c r="G100" s="9">
        <v>84</v>
      </c>
      <c r="H100" s="9">
        <v>87</v>
      </c>
      <c r="I100" s="11">
        <v>0.9</v>
      </c>
      <c r="J100" s="9">
        <f t="shared" si="4"/>
        <v>329</v>
      </c>
      <c r="K100" s="11">
        <f t="shared" si="5"/>
        <v>0.82250000000000001</v>
      </c>
      <c r="L100" s="9" t="str">
        <f t="shared" si="6"/>
        <v>PASS</v>
      </c>
      <c r="M100" s="9" t="str">
        <f t="shared" si="7"/>
        <v>ELIGIBLE</v>
      </c>
      <c r="N100" s="9" t="str" cm="1">
        <f t="array" ref="N100">_xlfn.IFS(I100&gt;=95%,"EXCELLENT",I100&gt;=85%,"VERY GOOD",I100&gt;=75%,"GOOD",I100&gt;=65%,"IMPROVEMENT",I100&gt;=40%,"POOR",I100&gt;=0%,"WORST")</f>
        <v>VERY GOOD</v>
      </c>
    </row>
    <row r="101" spans="1:14" ht="20.25" hidden="1" customHeight="1">
      <c r="A101" s="9" t="s">
        <v>212</v>
      </c>
      <c r="B101" s="9" t="s">
        <v>213</v>
      </c>
      <c r="C101" s="9" t="s">
        <v>21</v>
      </c>
      <c r="D101" s="9" t="s">
        <v>15</v>
      </c>
      <c r="E101" s="9">
        <v>94</v>
      </c>
      <c r="F101" s="9">
        <v>92</v>
      </c>
      <c r="G101" s="9">
        <v>96</v>
      </c>
      <c r="H101" s="9">
        <v>98</v>
      </c>
      <c r="I101" s="11">
        <v>0.99</v>
      </c>
      <c r="J101" s="9">
        <f t="shared" si="4"/>
        <v>380</v>
      </c>
      <c r="K101" s="11">
        <f t="shared" si="5"/>
        <v>0.95</v>
      </c>
      <c r="L101" s="9" t="str">
        <f t="shared" si="6"/>
        <v>PASS</v>
      </c>
      <c r="M101" s="9" t="str">
        <f t="shared" si="7"/>
        <v>ELIGIBLE</v>
      </c>
      <c r="N101" s="9" t="str" cm="1">
        <f t="array" ref="N101">_xlfn.IFS(I101&gt;=95%,"EXCELLENT",I101&gt;=85%,"VERY GOOD",I101&gt;=75%,"GOOD",I101&gt;=65%,"IMPROVEMENT",I101&gt;=40%,"POOR",I101&gt;=0%,"WORST")</f>
        <v>EXCELLENT</v>
      </c>
    </row>
  </sheetData>
  <autoFilter ref="A1:N101" xr:uid="{4F6B3C60-57DA-479E-8211-B96BDE4EDE71}">
    <filterColumn colId="11">
      <filters>
        <filter val="FAIL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44AA8-B7F3-432A-A827-76F2ABEBD5BA}">
  <dimension ref="A1:AC101"/>
  <sheetViews>
    <sheetView topLeftCell="M1" workbookViewId="0">
      <selection activeCell="P3" sqref="P3"/>
    </sheetView>
  </sheetViews>
  <sheetFormatPr defaultRowHeight="15"/>
  <cols>
    <col min="1" max="9" width="28.7109375" style="9" customWidth="1"/>
    <col min="10" max="14" width="28.7109375" style="10" customWidth="1"/>
  </cols>
  <sheetData>
    <row r="1" spans="1:29" ht="30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214</v>
      </c>
      <c r="K1" s="4" t="s">
        <v>216</v>
      </c>
      <c r="L1" s="4" t="s">
        <v>219</v>
      </c>
      <c r="M1" s="4" t="s">
        <v>220</v>
      </c>
      <c r="N1" s="4" t="s">
        <v>221</v>
      </c>
    </row>
    <row r="2" spans="1:29" ht="20.25" customHeight="1">
      <c r="A2" s="9" t="s">
        <v>9</v>
      </c>
      <c r="B2" s="9" t="s">
        <v>10</v>
      </c>
      <c r="C2" s="9" t="s">
        <v>11</v>
      </c>
      <c r="D2" s="9" t="s">
        <v>12</v>
      </c>
      <c r="E2" s="9">
        <v>78</v>
      </c>
      <c r="F2" s="9">
        <v>85</v>
      </c>
      <c r="G2" s="9">
        <v>72</v>
      </c>
      <c r="H2" s="9">
        <v>90</v>
      </c>
      <c r="I2" s="11">
        <v>0.92</v>
      </c>
      <c r="J2" s="9">
        <f>SUM(E2:H2)</f>
        <v>325</v>
      </c>
      <c r="K2" s="11">
        <f>J2/400</f>
        <v>0.8125</v>
      </c>
      <c r="L2" s="9" t="str">
        <f>IF(MIN(E2:H2)&gt;=40,"PASS","FAIL")</f>
        <v>PASS</v>
      </c>
      <c r="M2" s="9" t="str">
        <f>IF(I2&gt;=75%,"ELIGIBLE","NOT ELIGIBLE")</f>
        <v>ELIGIBLE</v>
      </c>
      <c r="N2" s="9" t="str" cm="1">
        <f t="array" ref="N2">_xlfn.IFS(I2&gt;=95%,"EXCELLENT",I2&gt;=85%,"VERY GOOD",I2&gt;=75%,"GOOD",I2&gt;=65%,"IMPROVEMENT",I2&gt;=40%,"POOR",I2&gt;=0%,"WORST")</f>
        <v>VERY GOOD</v>
      </c>
      <c r="P2" t="str" cm="1">
        <f t="array" ref="P2:AC101">_xlfn._xlws.SORT(A2:N101,11,-1)</f>
        <v>S084</v>
      </c>
      <c r="Q2" t="str">
        <v>Anushka Jain</v>
      </c>
      <c r="R2" t="str">
        <v>10A</v>
      </c>
      <c r="S2" t="str">
        <v>Female</v>
      </c>
      <c r="T2">
        <v>96</v>
      </c>
      <c r="U2">
        <v>94</v>
      </c>
      <c r="V2">
        <v>97</v>
      </c>
      <c r="W2">
        <v>98</v>
      </c>
      <c r="X2">
        <v>1</v>
      </c>
      <c r="Y2">
        <v>385</v>
      </c>
      <c r="Z2">
        <v>0.96250000000000002</v>
      </c>
      <c r="AA2" t="str">
        <v>PASS</v>
      </c>
      <c r="AB2" t="str">
        <v>ELIGIBLE</v>
      </c>
      <c r="AC2" t="str">
        <v>EXCELLENT</v>
      </c>
    </row>
    <row r="3" spans="1:29" ht="20.25" customHeight="1">
      <c r="A3" s="9" t="s">
        <v>13</v>
      </c>
      <c r="B3" s="9" t="s">
        <v>14</v>
      </c>
      <c r="C3" s="9" t="s">
        <v>11</v>
      </c>
      <c r="D3" s="9" t="s">
        <v>15</v>
      </c>
      <c r="E3" s="9">
        <v>65</v>
      </c>
      <c r="F3" s="9">
        <v>71</v>
      </c>
      <c r="G3" s="9">
        <v>68</v>
      </c>
      <c r="H3" s="9">
        <v>75</v>
      </c>
      <c r="I3" s="11">
        <v>0.87</v>
      </c>
      <c r="J3" s="9">
        <f t="shared" ref="J3:J66" si="0">SUM(E3:H3)</f>
        <v>279</v>
      </c>
      <c r="K3" s="11">
        <f t="shared" ref="K3:K66" si="1">J3/400</f>
        <v>0.69750000000000001</v>
      </c>
      <c r="L3" s="9" t="str">
        <f t="shared" ref="L3:L66" si="2">IF(MIN(E3:H3)&gt;=40,"PASS","FAIL")</f>
        <v>PASS</v>
      </c>
      <c r="M3" s="9" t="str">
        <f t="shared" ref="M3:M66" si="3">IF(I3&gt;=75%,"ELIGIBLE","NOT ELIGIBLE")</f>
        <v>ELIGIBLE</v>
      </c>
      <c r="N3" s="9" t="str" cm="1">
        <f t="array" ref="N3">_xlfn.IFS(I3&gt;=95%,"EXCELLENT",I3&gt;=85%,"VERY GOOD",I3&gt;=75%,"GOOD",I3&gt;=65%,"IMPROVEMENT",I3&gt;=40%,"POOR",I3&gt;=0%,"WORST")</f>
        <v>VERY GOOD</v>
      </c>
      <c r="P3" t="str">
        <v>S036</v>
      </c>
      <c r="Q3" t="str">
        <v>Anvi Sharma</v>
      </c>
      <c r="R3" t="str">
        <v>10A</v>
      </c>
      <c r="S3" t="str">
        <v>Female</v>
      </c>
      <c r="T3">
        <v>97</v>
      </c>
      <c r="U3">
        <v>93</v>
      </c>
      <c r="V3">
        <v>95</v>
      </c>
      <c r="W3">
        <v>98</v>
      </c>
      <c r="X3">
        <v>1</v>
      </c>
      <c r="Y3">
        <v>383</v>
      </c>
      <c r="Z3">
        <v>0.95750000000000002</v>
      </c>
      <c r="AA3" t="str">
        <v>PASS</v>
      </c>
      <c r="AB3" t="str">
        <v>ELIGIBLE</v>
      </c>
      <c r="AC3" t="str">
        <v>EXCELLENT</v>
      </c>
    </row>
    <row r="4" spans="1:29" ht="20.25" customHeight="1">
      <c r="A4" s="9" t="s">
        <v>16</v>
      </c>
      <c r="B4" s="9" t="s">
        <v>17</v>
      </c>
      <c r="C4" s="9" t="s">
        <v>18</v>
      </c>
      <c r="D4" s="9" t="s">
        <v>12</v>
      </c>
      <c r="E4" s="9">
        <v>42</v>
      </c>
      <c r="F4" s="9">
        <v>55</v>
      </c>
      <c r="G4" s="9">
        <v>48</v>
      </c>
      <c r="H4" s="9">
        <v>61</v>
      </c>
      <c r="I4" s="11">
        <v>0.74</v>
      </c>
      <c r="J4" s="9">
        <f t="shared" si="0"/>
        <v>206</v>
      </c>
      <c r="K4" s="11">
        <f t="shared" si="1"/>
        <v>0.51500000000000001</v>
      </c>
      <c r="L4" s="9" t="str">
        <f t="shared" si="2"/>
        <v>PASS</v>
      </c>
      <c r="M4" s="9" t="str">
        <f t="shared" si="3"/>
        <v>NOT ELIGIBLE</v>
      </c>
      <c r="N4" s="9" t="str" cm="1">
        <f t="array" ref="N4">_xlfn.IFS(I4&gt;=95%,"EXCELLENT",I4&gt;=85%,"VERY GOOD",I4&gt;=75%,"GOOD",I4&gt;=65%,"IMPROVEMENT",I4&gt;=40%,"POOR",I4&gt;=0%,"WORST")</f>
        <v>IMPROVEMENT</v>
      </c>
      <c r="P4" t="str">
        <v>S100</v>
      </c>
      <c r="Q4" t="str">
        <v>Sanvi Mehta</v>
      </c>
      <c r="R4" t="str">
        <v>10C</v>
      </c>
      <c r="S4" t="str">
        <v>Female</v>
      </c>
      <c r="T4">
        <v>94</v>
      </c>
      <c r="U4">
        <v>92</v>
      </c>
      <c r="V4">
        <v>96</v>
      </c>
      <c r="W4">
        <v>98</v>
      </c>
      <c r="X4">
        <v>0.99</v>
      </c>
      <c r="Y4">
        <v>380</v>
      </c>
      <c r="Z4">
        <v>0.95</v>
      </c>
      <c r="AA4" t="str">
        <v>PASS</v>
      </c>
      <c r="AB4" t="str">
        <v>ELIGIBLE</v>
      </c>
      <c r="AC4" t="str">
        <v>EXCELLENT</v>
      </c>
    </row>
    <row r="5" spans="1:29" ht="20.25" customHeight="1">
      <c r="A5" s="9" t="s">
        <v>19</v>
      </c>
      <c r="B5" s="9" t="s">
        <v>20</v>
      </c>
      <c r="C5" s="9" t="s">
        <v>21</v>
      </c>
      <c r="D5" s="9" t="s">
        <v>15</v>
      </c>
      <c r="E5" s="9">
        <v>91</v>
      </c>
      <c r="F5" s="9">
        <v>88</v>
      </c>
      <c r="G5" s="9">
        <v>94</v>
      </c>
      <c r="H5" s="9">
        <v>96</v>
      </c>
      <c r="I5" s="11">
        <v>0.98</v>
      </c>
      <c r="J5" s="9">
        <f t="shared" si="0"/>
        <v>369</v>
      </c>
      <c r="K5" s="11">
        <f t="shared" si="1"/>
        <v>0.92249999999999999</v>
      </c>
      <c r="L5" s="9" t="str">
        <f t="shared" si="2"/>
        <v>PASS</v>
      </c>
      <c r="M5" s="9" t="str">
        <f t="shared" si="3"/>
        <v>ELIGIBLE</v>
      </c>
      <c r="N5" s="9" t="str" cm="1">
        <f t="array" ref="N5">_xlfn.IFS(I5&gt;=95%,"EXCELLENT",I5&gt;=85%,"VERY GOOD",I5&gt;=75%,"GOOD",I5&gt;=65%,"IMPROVEMENT",I5&gt;=40%,"POOR",I5&gt;=0%,"WORST")</f>
        <v>EXCELLENT</v>
      </c>
      <c r="P5" t="str">
        <v>S090</v>
      </c>
      <c r="Q5" t="str">
        <v>Myra Patel</v>
      </c>
      <c r="R5" t="str">
        <v>10A</v>
      </c>
      <c r="S5" t="str">
        <v>Female</v>
      </c>
      <c r="T5">
        <v>93</v>
      </c>
      <c r="U5">
        <v>95</v>
      </c>
      <c r="V5">
        <v>92</v>
      </c>
      <c r="W5">
        <v>97</v>
      </c>
      <c r="X5">
        <v>0.99</v>
      </c>
      <c r="Y5">
        <v>377</v>
      </c>
      <c r="Z5">
        <v>0.9425</v>
      </c>
      <c r="AA5" t="str">
        <v>PASS</v>
      </c>
      <c r="AB5" t="str">
        <v>ELIGIBLE</v>
      </c>
      <c r="AC5" t="str">
        <v>EXCELLENT</v>
      </c>
    </row>
    <row r="6" spans="1:29" ht="20.25" customHeight="1">
      <c r="A6" s="9" t="s">
        <v>22</v>
      </c>
      <c r="B6" s="9" t="s">
        <v>23</v>
      </c>
      <c r="C6" s="9" t="s">
        <v>18</v>
      </c>
      <c r="D6" s="9" t="s">
        <v>12</v>
      </c>
      <c r="E6" s="9">
        <v>56</v>
      </c>
      <c r="F6" s="9">
        <v>63</v>
      </c>
      <c r="G6" s="9">
        <v>59</v>
      </c>
      <c r="H6" s="9">
        <v>70</v>
      </c>
      <c r="I6" s="11">
        <v>0.81</v>
      </c>
      <c r="J6" s="9">
        <f t="shared" si="0"/>
        <v>248</v>
      </c>
      <c r="K6" s="11">
        <f t="shared" si="1"/>
        <v>0.62</v>
      </c>
      <c r="L6" s="9" t="str">
        <f t="shared" si="2"/>
        <v>PASS</v>
      </c>
      <c r="M6" s="9" t="str">
        <f t="shared" si="3"/>
        <v>ELIGIBLE</v>
      </c>
      <c r="N6" s="9" t="str" cm="1">
        <f t="array" ref="N6">_xlfn.IFS(I6&gt;=95%,"EXCELLENT",I6&gt;=85%,"VERY GOOD",I6&gt;=75%,"GOOD",I6&gt;=65%,"IMPROVEMENT",I6&gt;=40%,"POOR",I6&gt;=0%,"WORST")</f>
        <v>GOOD</v>
      </c>
      <c r="P6" t="str">
        <v>S061</v>
      </c>
      <c r="Q6" t="str">
        <v>Ayaan Kapoor</v>
      </c>
      <c r="R6" t="str">
        <v>10C</v>
      </c>
      <c r="S6" t="str">
        <v>Male</v>
      </c>
      <c r="T6">
        <v>93</v>
      </c>
      <c r="U6">
        <v>90</v>
      </c>
      <c r="V6">
        <v>95</v>
      </c>
      <c r="W6">
        <v>97</v>
      </c>
      <c r="X6">
        <v>0.99</v>
      </c>
      <c r="Y6">
        <v>375</v>
      </c>
      <c r="Z6">
        <v>0.9375</v>
      </c>
      <c r="AA6" t="str">
        <v>PASS</v>
      </c>
      <c r="AB6" t="str">
        <v>ELIGIBLE</v>
      </c>
      <c r="AC6" t="str">
        <v>EXCELLENT</v>
      </c>
    </row>
    <row r="7" spans="1:29" ht="20.25" customHeight="1">
      <c r="A7" s="9" t="s">
        <v>24</v>
      </c>
      <c r="B7" s="9" t="s">
        <v>25</v>
      </c>
      <c r="C7" s="9" t="s">
        <v>11</v>
      </c>
      <c r="D7" s="9" t="s">
        <v>15</v>
      </c>
      <c r="E7" s="9">
        <v>84</v>
      </c>
      <c r="F7" s="9">
        <v>79</v>
      </c>
      <c r="G7" s="9">
        <v>88</v>
      </c>
      <c r="H7" s="9">
        <v>91</v>
      </c>
      <c r="I7" s="11">
        <v>0.95</v>
      </c>
      <c r="J7" s="9">
        <f t="shared" si="0"/>
        <v>342</v>
      </c>
      <c r="K7" s="11">
        <f t="shared" si="1"/>
        <v>0.85499999999999998</v>
      </c>
      <c r="L7" s="9" t="str">
        <f t="shared" si="2"/>
        <v>PASS</v>
      </c>
      <c r="M7" s="9" t="str">
        <f t="shared" si="3"/>
        <v>ELIGIBLE</v>
      </c>
      <c r="N7" s="9" t="str" cm="1">
        <f t="array" ref="N7">_xlfn.IFS(I7&gt;=95%,"EXCELLENT",I7&gt;=85%,"VERY GOOD",I7&gt;=75%,"GOOD",I7&gt;=65%,"IMPROVEMENT",I7&gt;=40%,"POOR",I7&gt;=0%,"WORST")</f>
        <v>EXCELLENT</v>
      </c>
      <c r="P7" t="str">
        <v>S028</v>
      </c>
      <c r="Q7" t="str">
        <v>Ira Mehta</v>
      </c>
      <c r="R7" t="str">
        <v>10C</v>
      </c>
      <c r="S7" t="str">
        <v>Female</v>
      </c>
      <c r="T7">
        <v>92</v>
      </c>
      <c r="U7">
        <v>95</v>
      </c>
      <c r="V7">
        <v>90</v>
      </c>
      <c r="W7">
        <v>97</v>
      </c>
      <c r="X7">
        <v>0.99</v>
      </c>
      <c r="Y7">
        <v>374</v>
      </c>
      <c r="Z7">
        <v>0.93500000000000005</v>
      </c>
      <c r="AA7" t="str">
        <v>PASS</v>
      </c>
      <c r="AB7" t="str">
        <v>ELIGIBLE</v>
      </c>
      <c r="AC7" t="str">
        <v>EXCELLENT</v>
      </c>
    </row>
    <row r="8" spans="1:29" ht="20.25" customHeight="1">
      <c r="A8" s="9" t="s">
        <v>26</v>
      </c>
      <c r="B8" s="9" t="s">
        <v>27</v>
      </c>
      <c r="C8" s="9" t="s">
        <v>21</v>
      </c>
      <c r="D8" s="9" t="s">
        <v>12</v>
      </c>
      <c r="E8" s="9">
        <v>38</v>
      </c>
      <c r="F8" s="9">
        <v>45</v>
      </c>
      <c r="G8" s="9">
        <v>41</v>
      </c>
      <c r="H8" s="9">
        <v>52</v>
      </c>
      <c r="I8" s="11">
        <v>0.69</v>
      </c>
      <c r="J8" s="9">
        <f t="shared" si="0"/>
        <v>176</v>
      </c>
      <c r="K8" s="11">
        <f t="shared" si="1"/>
        <v>0.44</v>
      </c>
      <c r="L8" s="9" t="str">
        <f t="shared" si="2"/>
        <v>FAIL</v>
      </c>
      <c r="M8" s="9" t="str">
        <f t="shared" si="3"/>
        <v>NOT ELIGIBLE</v>
      </c>
      <c r="N8" s="9" t="str" cm="1">
        <f t="array" ref="N8">_xlfn.IFS(I8&gt;=95%,"EXCELLENT",I8&gt;=85%,"VERY GOOD",I8&gt;=75%,"GOOD",I8&gt;=65%,"IMPROVEMENT",I8&gt;=40%,"POOR",I8&gt;=0%,"WORST")</f>
        <v>IMPROVEMENT</v>
      </c>
      <c r="P8" t="str">
        <v>S048</v>
      </c>
      <c r="Q8" t="str">
        <v>Avisha Patil</v>
      </c>
      <c r="R8" t="str">
        <v>10A</v>
      </c>
      <c r="S8" t="str">
        <v>Female</v>
      </c>
      <c r="T8">
        <v>94</v>
      </c>
      <c r="U8">
        <v>96</v>
      </c>
      <c r="V8">
        <v>91</v>
      </c>
      <c r="W8">
        <v>93</v>
      </c>
      <c r="X8">
        <v>0.99</v>
      </c>
      <c r="Y8">
        <v>374</v>
      </c>
      <c r="Z8">
        <v>0.93500000000000005</v>
      </c>
      <c r="AA8" t="str">
        <v>PASS</v>
      </c>
      <c r="AB8" t="str">
        <v>ELIGIBLE</v>
      </c>
      <c r="AC8" t="str">
        <v>EXCELLENT</v>
      </c>
    </row>
    <row r="9" spans="1:29" ht="20.25" customHeight="1">
      <c r="A9" s="9" t="s">
        <v>28</v>
      </c>
      <c r="B9" s="9" t="s">
        <v>29</v>
      </c>
      <c r="C9" s="9" t="s">
        <v>18</v>
      </c>
      <c r="D9" s="9" t="s">
        <v>15</v>
      </c>
      <c r="E9" s="9">
        <v>73</v>
      </c>
      <c r="F9" s="9">
        <v>68</v>
      </c>
      <c r="G9" s="9">
        <v>76</v>
      </c>
      <c r="H9" s="9">
        <v>82</v>
      </c>
      <c r="I9" s="11">
        <v>0.89</v>
      </c>
      <c r="J9" s="9">
        <f t="shared" si="0"/>
        <v>299</v>
      </c>
      <c r="K9" s="11">
        <f t="shared" si="1"/>
        <v>0.74750000000000005</v>
      </c>
      <c r="L9" s="9" t="str">
        <f t="shared" si="2"/>
        <v>PASS</v>
      </c>
      <c r="M9" s="9" t="str">
        <f t="shared" si="3"/>
        <v>ELIGIBLE</v>
      </c>
      <c r="N9" s="9" t="str" cm="1">
        <f t="array" ref="N9">_xlfn.IFS(I9&gt;=95%,"EXCELLENT",I9&gt;=85%,"VERY GOOD",I9&gt;=75%,"GOOD",I9&gt;=65%,"IMPROVEMENT",I9&gt;=40%,"POOR",I9&gt;=0%,"WORST")</f>
        <v>VERY GOOD</v>
      </c>
      <c r="P9" t="str">
        <v>S070</v>
      </c>
      <c r="Q9" t="str">
        <v>Ishani Bansal</v>
      </c>
      <c r="R9" t="str">
        <v>10C</v>
      </c>
      <c r="S9" t="str">
        <v>Female</v>
      </c>
      <c r="T9">
        <v>95</v>
      </c>
      <c r="U9">
        <v>89</v>
      </c>
      <c r="V9">
        <v>94</v>
      </c>
      <c r="W9">
        <v>96</v>
      </c>
      <c r="X9">
        <v>0.99</v>
      </c>
      <c r="Y9">
        <v>374</v>
      </c>
      <c r="Z9">
        <v>0.93500000000000005</v>
      </c>
      <c r="AA9" t="str">
        <v>PASS</v>
      </c>
      <c r="AB9" t="str">
        <v>ELIGIBLE</v>
      </c>
      <c r="AC9" t="str">
        <v>EXCELLENT</v>
      </c>
    </row>
    <row r="10" spans="1:29" ht="20.25" customHeight="1">
      <c r="A10" s="9" t="s">
        <v>30</v>
      </c>
      <c r="B10" s="9" t="s">
        <v>31</v>
      </c>
      <c r="C10" s="9" t="s">
        <v>11</v>
      </c>
      <c r="D10" s="9" t="s">
        <v>12</v>
      </c>
      <c r="E10" s="9">
        <v>95</v>
      </c>
      <c r="F10" s="9">
        <v>92</v>
      </c>
      <c r="G10" s="9">
        <v>89</v>
      </c>
      <c r="H10" s="9">
        <v>97</v>
      </c>
      <c r="I10" s="11">
        <v>0.99</v>
      </c>
      <c r="J10" s="9">
        <f t="shared" si="0"/>
        <v>373</v>
      </c>
      <c r="K10" s="11">
        <f t="shared" si="1"/>
        <v>0.9325</v>
      </c>
      <c r="L10" s="9" t="str">
        <f t="shared" si="2"/>
        <v>PASS</v>
      </c>
      <c r="M10" s="9" t="str">
        <f t="shared" si="3"/>
        <v>ELIGIBLE</v>
      </c>
      <c r="N10" s="9" t="str" cm="1">
        <f t="array" ref="N10">_xlfn.IFS(I10&gt;=95%,"EXCELLENT",I10&gt;=85%,"VERY GOOD",I10&gt;=75%,"GOOD",I10&gt;=65%,"IMPROVEMENT",I10&gt;=40%,"POOR",I10&gt;=0%,"WORST")</f>
        <v>EXCELLENT</v>
      </c>
      <c r="P10" t="str">
        <v>S074</v>
      </c>
      <c r="Q10" t="str">
        <v>Samaira Rao</v>
      </c>
      <c r="R10" t="str">
        <v>10B</v>
      </c>
      <c r="S10" t="str">
        <v>Female</v>
      </c>
      <c r="T10">
        <v>92</v>
      </c>
      <c r="U10">
        <v>96</v>
      </c>
      <c r="V10">
        <v>91</v>
      </c>
      <c r="W10">
        <v>95</v>
      </c>
      <c r="X10">
        <v>0.98</v>
      </c>
      <c r="Y10">
        <v>374</v>
      </c>
      <c r="Z10">
        <v>0.93500000000000005</v>
      </c>
      <c r="AA10" t="str">
        <v>PASS</v>
      </c>
      <c r="AB10" t="str">
        <v>ELIGIBLE</v>
      </c>
      <c r="AC10" t="str">
        <v>EXCELLENT</v>
      </c>
    </row>
    <row r="11" spans="1:29" ht="20.25" customHeight="1">
      <c r="A11" s="9" t="s">
        <v>32</v>
      </c>
      <c r="B11" s="9" t="s">
        <v>33</v>
      </c>
      <c r="C11" s="9" t="s">
        <v>21</v>
      </c>
      <c r="D11" s="9" t="s">
        <v>15</v>
      </c>
      <c r="E11" s="9">
        <v>61</v>
      </c>
      <c r="F11" s="9">
        <v>57</v>
      </c>
      <c r="G11" s="9">
        <v>64</v>
      </c>
      <c r="H11" s="9">
        <v>69</v>
      </c>
      <c r="I11" s="11">
        <v>0.78</v>
      </c>
      <c r="J11" s="9">
        <f t="shared" si="0"/>
        <v>251</v>
      </c>
      <c r="K11" s="11">
        <f t="shared" si="1"/>
        <v>0.62749999999999995</v>
      </c>
      <c r="L11" s="9" t="str">
        <f t="shared" si="2"/>
        <v>PASS</v>
      </c>
      <c r="M11" s="9" t="str">
        <f t="shared" si="3"/>
        <v>ELIGIBLE</v>
      </c>
      <c r="N11" s="9" t="str" cm="1">
        <f t="array" ref="N11">_xlfn.IFS(I11&gt;=95%,"EXCELLENT",I11&gt;=85%,"VERY GOOD",I11&gt;=75%,"GOOD",I11&gt;=65%,"IMPROVEMENT",I11&gt;=40%,"POOR",I11&gt;=0%,"WORST")</f>
        <v>GOOD</v>
      </c>
      <c r="P11" t="str">
        <v>S009</v>
      </c>
      <c r="Q11" t="str">
        <v>Aditya Kulkarni</v>
      </c>
      <c r="R11" t="str">
        <v>10A</v>
      </c>
      <c r="S11" t="str">
        <v>Male</v>
      </c>
      <c r="T11">
        <v>95</v>
      </c>
      <c r="U11">
        <v>92</v>
      </c>
      <c r="V11">
        <v>89</v>
      </c>
      <c r="W11">
        <v>97</v>
      </c>
      <c r="X11">
        <v>0.99</v>
      </c>
      <c r="Y11">
        <v>373</v>
      </c>
      <c r="Z11">
        <v>0.9325</v>
      </c>
      <c r="AA11" t="str">
        <v>PASS</v>
      </c>
      <c r="AB11" t="str">
        <v>ELIGIBLE</v>
      </c>
      <c r="AC11" t="str">
        <v>EXCELLENT</v>
      </c>
    </row>
    <row r="12" spans="1:29" ht="20.25" customHeight="1">
      <c r="A12" s="9" t="s">
        <v>34</v>
      </c>
      <c r="B12" s="9" t="s">
        <v>35</v>
      </c>
      <c r="C12" s="9" t="s">
        <v>18</v>
      </c>
      <c r="D12" s="9" t="s">
        <v>12</v>
      </c>
      <c r="E12" s="9">
        <v>82</v>
      </c>
      <c r="F12" s="9">
        <v>86</v>
      </c>
      <c r="G12" s="9">
        <v>79</v>
      </c>
      <c r="H12" s="9">
        <v>88</v>
      </c>
      <c r="I12" s="11">
        <v>0.93</v>
      </c>
      <c r="J12" s="9">
        <f t="shared" si="0"/>
        <v>335</v>
      </c>
      <c r="K12" s="11">
        <f t="shared" si="1"/>
        <v>0.83750000000000002</v>
      </c>
      <c r="L12" s="9" t="str">
        <f t="shared" si="2"/>
        <v>PASS</v>
      </c>
      <c r="M12" s="9" t="str">
        <f t="shared" si="3"/>
        <v>ELIGIBLE</v>
      </c>
      <c r="N12" s="9" t="str" cm="1">
        <f t="array" ref="N12">_xlfn.IFS(I12&gt;=95%,"EXCELLENT",I12&gt;=85%,"VERY GOOD",I12&gt;=75%,"GOOD",I12&gt;=65%,"IMPROVEMENT",I12&gt;=40%,"POOR",I12&gt;=0%,"WORST")</f>
        <v>VERY GOOD</v>
      </c>
      <c r="P12" t="str">
        <v>S054</v>
      </c>
      <c r="Q12" t="str">
        <v>Amaya Rao</v>
      </c>
      <c r="R12" t="str">
        <v>10A</v>
      </c>
      <c r="S12" t="str">
        <v>Female</v>
      </c>
      <c r="T12">
        <v>91</v>
      </c>
      <c r="U12">
        <v>94</v>
      </c>
      <c r="V12">
        <v>89</v>
      </c>
      <c r="W12">
        <v>96</v>
      </c>
      <c r="X12">
        <v>0.98</v>
      </c>
      <c r="Y12">
        <v>370</v>
      </c>
      <c r="Z12">
        <v>0.92500000000000004</v>
      </c>
      <c r="AA12" t="str">
        <v>PASS</v>
      </c>
      <c r="AB12" t="str">
        <v>ELIGIBLE</v>
      </c>
      <c r="AC12" t="str">
        <v>EXCELLENT</v>
      </c>
    </row>
    <row r="13" spans="1:29" ht="20.25" customHeight="1">
      <c r="A13" s="9" t="s">
        <v>36</v>
      </c>
      <c r="B13" s="9" t="s">
        <v>37</v>
      </c>
      <c r="C13" s="9" t="s">
        <v>11</v>
      </c>
      <c r="D13" s="9" t="s">
        <v>15</v>
      </c>
      <c r="E13" s="9">
        <v>88</v>
      </c>
      <c r="F13" s="9">
        <v>91</v>
      </c>
      <c r="G13" s="9">
        <v>85</v>
      </c>
      <c r="H13" s="9">
        <v>94</v>
      </c>
      <c r="I13" s="11">
        <v>0.97</v>
      </c>
      <c r="J13" s="9">
        <f t="shared" si="0"/>
        <v>358</v>
      </c>
      <c r="K13" s="11">
        <f t="shared" si="1"/>
        <v>0.89500000000000002</v>
      </c>
      <c r="L13" s="9" t="str">
        <f t="shared" si="2"/>
        <v>PASS</v>
      </c>
      <c r="M13" s="9" t="str">
        <f t="shared" si="3"/>
        <v>ELIGIBLE</v>
      </c>
      <c r="N13" s="9" t="str" cm="1">
        <f t="array" ref="N13">_xlfn.IFS(I13&gt;=95%,"EXCELLENT",I13&gt;=85%,"VERY GOOD",I13&gt;=75%,"GOOD",I13&gt;=65%,"IMPROVEMENT",I13&gt;=40%,"POOR",I13&gt;=0%,"WORST")</f>
        <v>EXCELLENT</v>
      </c>
      <c r="P13" t="str">
        <v>S094</v>
      </c>
      <c r="Q13" t="str">
        <v>Sia Joshi</v>
      </c>
      <c r="R13" t="str">
        <v>10C</v>
      </c>
      <c r="S13" t="str">
        <v>Female</v>
      </c>
      <c r="T13">
        <v>91</v>
      </c>
      <c r="U13">
        <v>89</v>
      </c>
      <c r="V13">
        <v>94</v>
      </c>
      <c r="W13">
        <v>96</v>
      </c>
      <c r="X13">
        <v>0.98</v>
      </c>
      <c r="Y13">
        <v>370</v>
      </c>
      <c r="Z13">
        <v>0.92500000000000004</v>
      </c>
      <c r="AA13" t="str">
        <v>PASS</v>
      </c>
      <c r="AB13" t="str">
        <v>ELIGIBLE</v>
      </c>
      <c r="AC13" t="str">
        <v>EXCELLENT</v>
      </c>
    </row>
    <row r="14" spans="1:29" ht="20.25" customHeight="1">
      <c r="A14" s="9" t="s">
        <v>38</v>
      </c>
      <c r="B14" s="9" t="s">
        <v>39</v>
      </c>
      <c r="C14" s="9" t="s">
        <v>21</v>
      </c>
      <c r="D14" s="9" t="s">
        <v>12</v>
      </c>
      <c r="E14" s="9">
        <v>47</v>
      </c>
      <c r="F14" s="9">
        <v>52</v>
      </c>
      <c r="G14" s="9">
        <v>44</v>
      </c>
      <c r="H14" s="9">
        <v>58</v>
      </c>
      <c r="I14" s="11">
        <v>0.72</v>
      </c>
      <c r="J14" s="9">
        <f t="shared" si="0"/>
        <v>201</v>
      </c>
      <c r="K14" s="11">
        <f t="shared" si="1"/>
        <v>0.50249999999999995</v>
      </c>
      <c r="L14" s="9" t="str">
        <f t="shared" si="2"/>
        <v>PASS</v>
      </c>
      <c r="M14" s="9" t="str">
        <f t="shared" si="3"/>
        <v>NOT ELIGIBLE</v>
      </c>
      <c r="N14" s="9" t="str" cm="1">
        <f t="array" ref="N14">_xlfn.IFS(I14&gt;=95%,"EXCELLENT",I14&gt;=85%,"VERY GOOD",I14&gt;=75%,"GOOD",I14&gt;=65%,"IMPROVEMENT",I14&gt;=40%,"POOR",I14&gt;=0%,"WORST")</f>
        <v>IMPROVEMENT</v>
      </c>
      <c r="P14" t="str">
        <v>S004</v>
      </c>
      <c r="Q14" t="str">
        <v>Ananya Shah</v>
      </c>
      <c r="R14" t="str">
        <v>10C</v>
      </c>
      <c r="S14" t="str">
        <v>Female</v>
      </c>
      <c r="T14">
        <v>91</v>
      </c>
      <c r="U14">
        <v>88</v>
      </c>
      <c r="V14">
        <v>94</v>
      </c>
      <c r="W14">
        <v>96</v>
      </c>
      <c r="X14">
        <v>0.98</v>
      </c>
      <c r="Y14">
        <v>369</v>
      </c>
      <c r="Z14">
        <v>0.92249999999999999</v>
      </c>
      <c r="AA14" t="str">
        <v>PASS</v>
      </c>
      <c r="AB14" t="str">
        <v>ELIGIBLE</v>
      </c>
      <c r="AC14" t="str">
        <v>EXCELLENT</v>
      </c>
    </row>
    <row r="15" spans="1:29" ht="20.25" customHeight="1">
      <c r="A15" s="9" t="s">
        <v>40</v>
      </c>
      <c r="B15" s="9" t="s">
        <v>41</v>
      </c>
      <c r="C15" s="9" t="s">
        <v>18</v>
      </c>
      <c r="D15" s="9" t="s">
        <v>15</v>
      </c>
      <c r="E15" s="9">
        <v>76</v>
      </c>
      <c r="F15" s="9">
        <v>81</v>
      </c>
      <c r="G15" s="9">
        <v>73</v>
      </c>
      <c r="H15" s="9">
        <v>79</v>
      </c>
      <c r="I15" s="11">
        <v>0.9</v>
      </c>
      <c r="J15" s="9">
        <f t="shared" si="0"/>
        <v>309</v>
      </c>
      <c r="K15" s="11">
        <f t="shared" si="1"/>
        <v>0.77249999999999996</v>
      </c>
      <c r="L15" s="9" t="str">
        <f t="shared" si="2"/>
        <v>PASS</v>
      </c>
      <c r="M15" s="9" t="str">
        <f t="shared" si="3"/>
        <v>ELIGIBLE</v>
      </c>
      <c r="N15" s="9" t="str" cm="1">
        <f t="array" ref="N15">_xlfn.IFS(I15&gt;=95%,"EXCELLENT",I15&gt;=85%,"VERY GOOD",I15&gt;=75%,"GOOD",I15&gt;=65%,"IMPROVEMENT",I15&gt;=40%,"POOR",I15&gt;=0%,"WORST")</f>
        <v>VERY GOOD</v>
      </c>
      <c r="P15" t="str">
        <v>S016</v>
      </c>
      <c r="Q15" t="str">
        <v>Myra Choudhary</v>
      </c>
      <c r="R15" t="str">
        <v>10C</v>
      </c>
      <c r="S15" t="str">
        <v>Female</v>
      </c>
      <c r="T15">
        <v>93</v>
      </c>
      <c r="U15">
        <v>89</v>
      </c>
      <c r="V15">
        <v>96</v>
      </c>
      <c r="W15">
        <v>91</v>
      </c>
      <c r="X15">
        <v>0.98</v>
      </c>
      <c r="Y15">
        <v>369</v>
      </c>
      <c r="Z15">
        <v>0.92249999999999999</v>
      </c>
      <c r="AA15" t="str">
        <v>PASS</v>
      </c>
      <c r="AB15" t="str">
        <v>ELIGIBLE</v>
      </c>
      <c r="AC15" t="str">
        <v>EXCELLENT</v>
      </c>
    </row>
    <row r="16" spans="1:29" ht="20.25" customHeight="1">
      <c r="A16" s="9" t="s">
        <v>42</v>
      </c>
      <c r="B16" s="9" t="s">
        <v>43</v>
      </c>
      <c r="C16" s="9" t="s">
        <v>11</v>
      </c>
      <c r="D16" s="9" t="s">
        <v>12</v>
      </c>
      <c r="E16" s="9">
        <v>69</v>
      </c>
      <c r="F16" s="9">
        <v>74</v>
      </c>
      <c r="G16" s="9">
        <v>67</v>
      </c>
      <c r="H16" s="9">
        <v>72</v>
      </c>
      <c r="I16" s="11">
        <v>0.84</v>
      </c>
      <c r="J16" s="9">
        <f t="shared" si="0"/>
        <v>282</v>
      </c>
      <c r="K16" s="11">
        <f t="shared" si="1"/>
        <v>0.70499999999999996</v>
      </c>
      <c r="L16" s="9" t="str">
        <f t="shared" si="2"/>
        <v>PASS</v>
      </c>
      <c r="M16" s="9" t="str">
        <f t="shared" si="3"/>
        <v>ELIGIBLE</v>
      </c>
      <c r="N16" s="9" t="str" cm="1">
        <f t="array" ref="N16">_xlfn.IFS(I16&gt;=95%,"EXCELLENT",I16&gt;=85%,"VERY GOOD",I16&gt;=75%,"GOOD",I16&gt;=65%,"IMPROVEMENT",I16&gt;=40%,"POOR",I16&gt;=0%,"WORST")</f>
        <v>GOOD</v>
      </c>
      <c r="P16" t="str">
        <v>S021</v>
      </c>
      <c r="Q16" t="str">
        <v>Arnav Sethi</v>
      </c>
      <c r="R16" t="str">
        <v>10A</v>
      </c>
      <c r="S16" t="str">
        <v>Male</v>
      </c>
      <c r="T16">
        <v>89</v>
      </c>
      <c r="U16">
        <v>94</v>
      </c>
      <c r="V16">
        <v>91</v>
      </c>
      <c r="W16">
        <v>93</v>
      </c>
      <c r="X16">
        <v>0.96</v>
      </c>
      <c r="Y16">
        <v>367</v>
      </c>
      <c r="Z16">
        <v>0.91749999999999998</v>
      </c>
      <c r="AA16" t="str">
        <v>PASS</v>
      </c>
      <c r="AB16" t="str">
        <v>ELIGIBLE</v>
      </c>
      <c r="AC16" t="str">
        <v>EXCELLENT</v>
      </c>
    </row>
    <row r="17" spans="1:29" ht="20.25" customHeight="1">
      <c r="A17" s="9" t="s">
        <v>44</v>
      </c>
      <c r="B17" s="9" t="s">
        <v>45</v>
      </c>
      <c r="C17" s="9" t="s">
        <v>21</v>
      </c>
      <c r="D17" s="9" t="s">
        <v>15</v>
      </c>
      <c r="E17" s="9">
        <v>93</v>
      </c>
      <c r="F17" s="9">
        <v>89</v>
      </c>
      <c r="G17" s="9">
        <v>96</v>
      </c>
      <c r="H17" s="9">
        <v>91</v>
      </c>
      <c r="I17" s="11">
        <v>0.98</v>
      </c>
      <c r="J17" s="9">
        <f t="shared" si="0"/>
        <v>369</v>
      </c>
      <c r="K17" s="11">
        <f t="shared" si="1"/>
        <v>0.92249999999999999</v>
      </c>
      <c r="L17" s="9" t="str">
        <f t="shared" si="2"/>
        <v>PASS</v>
      </c>
      <c r="M17" s="9" t="str">
        <f t="shared" si="3"/>
        <v>ELIGIBLE</v>
      </c>
      <c r="N17" s="9" t="str" cm="1">
        <f t="array" ref="N17">_xlfn.IFS(I17&gt;=95%,"EXCELLENT",I17&gt;=85%,"VERY GOOD",I17&gt;=75%,"GOOD",I17&gt;=65%,"IMPROVEMENT",I17&gt;=40%,"POOR",I17&gt;=0%,"WORST")</f>
        <v>EXCELLENT</v>
      </c>
      <c r="P17" t="str">
        <v>S080</v>
      </c>
      <c r="Q17" t="str">
        <v>Shravya Kapoor</v>
      </c>
      <c r="R17" t="str">
        <v>10B</v>
      </c>
      <c r="S17" t="str">
        <v>Female</v>
      </c>
      <c r="T17">
        <v>90</v>
      </c>
      <c r="U17">
        <v>87</v>
      </c>
      <c r="V17">
        <v>93</v>
      </c>
      <c r="W17">
        <v>96</v>
      </c>
      <c r="X17">
        <v>0.98</v>
      </c>
      <c r="Y17">
        <v>366</v>
      </c>
      <c r="Z17">
        <v>0.91500000000000004</v>
      </c>
      <c r="AA17" t="str">
        <v>PASS</v>
      </c>
      <c r="AB17" t="str">
        <v>ELIGIBLE</v>
      </c>
      <c r="AC17" t="str">
        <v>EXCELLENT</v>
      </c>
    </row>
    <row r="18" spans="1:29" ht="20.25" customHeight="1">
      <c r="A18" s="9" t="s">
        <v>46</v>
      </c>
      <c r="B18" s="9" t="s">
        <v>47</v>
      </c>
      <c r="C18" s="9" t="s">
        <v>18</v>
      </c>
      <c r="D18" s="9" t="s">
        <v>12</v>
      </c>
      <c r="E18" s="9">
        <v>54</v>
      </c>
      <c r="F18" s="9">
        <v>49</v>
      </c>
      <c r="G18" s="9">
        <v>57</v>
      </c>
      <c r="H18" s="9">
        <v>63</v>
      </c>
      <c r="I18" s="11">
        <v>0.76</v>
      </c>
      <c r="J18" s="9">
        <f t="shared" si="0"/>
        <v>223</v>
      </c>
      <c r="K18" s="11">
        <f t="shared" si="1"/>
        <v>0.5575</v>
      </c>
      <c r="L18" s="9" t="str">
        <f t="shared" si="2"/>
        <v>PASS</v>
      </c>
      <c r="M18" s="9" t="str">
        <f t="shared" si="3"/>
        <v>ELIGIBLE</v>
      </c>
      <c r="N18" s="9" t="str" cm="1">
        <f t="array" ref="N18">_xlfn.IFS(I18&gt;=95%,"EXCELLENT",I18&gt;=85%,"VERY GOOD",I18&gt;=75%,"GOOD",I18&gt;=65%,"IMPROVEMENT",I18&gt;=40%,"POOR",I18&gt;=0%,"WORST")</f>
        <v>GOOD</v>
      </c>
      <c r="P18" t="str">
        <v>S040</v>
      </c>
      <c r="Q18" t="str">
        <v>Aarohi Jain</v>
      </c>
      <c r="R18" t="str">
        <v>10C</v>
      </c>
      <c r="S18" t="str">
        <v>Female</v>
      </c>
      <c r="T18">
        <v>90</v>
      </c>
      <c r="U18">
        <v>86</v>
      </c>
      <c r="V18">
        <v>92</v>
      </c>
      <c r="W18">
        <v>95</v>
      </c>
      <c r="X18">
        <v>0.97</v>
      </c>
      <c r="Y18">
        <v>363</v>
      </c>
      <c r="Z18">
        <v>0.90749999999999997</v>
      </c>
      <c r="AA18" t="str">
        <v>PASS</v>
      </c>
      <c r="AB18" t="str">
        <v>ELIGIBLE</v>
      </c>
      <c r="AC18" t="str">
        <v>EXCELLENT</v>
      </c>
    </row>
    <row r="19" spans="1:29" ht="20.25" customHeight="1">
      <c r="A19" s="9" t="s">
        <v>48</v>
      </c>
      <c r="B19" s="9" t="s">
        <v>49</v>
      </c>
      <c r="C19" s="9" t="s">
        <v>11</v>
      </c>
      <c r="D19" s="9" t="s">
        <v>15</v>
      </c>
      <c r="E19" s="9">
        <v>81</v>
      </c>
      <c r="F19" s="9">
        <v>77</v>
      </c>
      <c r="G19" s="9">
        <v>84</v>
      </c>
      <c r="H19" s="9">
        <v>86</v>
      </c>
      <c r="I19" s="11">
        <v>0.91</v>
      </c>
      <c r="J19" s="9">
        <f t="shared" si="0"/>
        <v>328</v>
      </c>
      <c r="K19" s="11">
        <f t="shared" si="1"/>
        <v>0.82</v>
      </c>
      <c r="L19" s="9" t="str">
        <f t="shared" si="2"/>
        <v>PASS</v>
      </c>
      <c r="M19" s="9" t="str">
        <f t="shared" si="3"/>
        <v>ELIGIBLE</v>
      </c>
      <c r="N19" s="9" t="str" cm="1">
        <f t="array" ref="N19">_xlfn.IFS(I19&gt;=95%,"EXCELLENT",I19&gt;=85%,"VERY GOOD",I19&gt;=75%,"GOOD",I19&gt;=65%,"IMPROVEMENT",I19&gt;=40%,"POOR",I19&gt;=0%,"WORST")</f>
        <v>VERY GOOD</v>
      </c>
      <c r="P19" t="str">
        <v>S088</v>
      </c>
      <c r="Q19" t="str">
        <v>Kiara Shah</v>
      </c>
      <c r="R19" t="str">
        <v>10C</v>
      </c>
      <c r="S19" t="str">
        <v>Female</v>
      </c>
      <c r="T19">
        <v>87</v>
      </c>
      <c r="U19">
        <v>91</v>
      </c>
      <c r="V19">
        <v>89</v>
      </c>
      <c r="W19">
        <v>94</v>
      </c>
      <c r="X19">
        <v>0.97</v>
      </c>
      <c r="Y19">
        <v>361</v>
      </c>
      <c r="Z19">
        <v>0.90249999999999997</v>
      </c>
      <c r="AA19" t="str">
        <v>PASS</v>
      </c>
      <c r="AB19" t="str">
        <v>ELIGIBLE</v>
      </c>
      <c r="AC19" t="str">
        <v>EXCELLENT</v>
      </c>
    </row>
    <row r="20" spans="1:29" ht="20.25" customHeight="1">
      <c r="A20" s="9" t="s">
        <v>50</v>
      </c>
      <c r="B20" s="9" t="s">
        <v>51</v>
      </c>
      <c r="C20" s="9" t="s">
        <v>21</v>
      </c>
      <c r="D20" s="9" t="s">
        <v>12</v>
      </c>
      <c r="E20" s="9">
        <v>35</v>
      </c>
      <c r="F20" s="9">
        <v>42</v>
      </c>
      <c r="G20" s="9">
        <v>39</v>
      </c>
      <c r="H20" s="9">
        <v>48</v>
      </c>
      <c r="I20" s="11">
        <v>0.65</v>
      </c>
      <c r="J20" s="9">
        <f t="shared" si="0"/>
        <v>164</v>
      </c>
      <c r="K20" s="11">
        <f t="shared" si="1"/>
        <v>0.41</v>
      </c>
      <c r="L20" s="9" t="str">
        <f t="shared" si="2"/>
        <v>FAIL</v>
      </c>
      <c r="M20" s="9" t="str">
        <f t="shared" si="3"/>
        <v>NOT ELIGIBLE</v>
      </c>
      <c r="N20" s="9" t="str" cm="1">
        <f t="array" ref="N20">_xlfn.IFS(I20&gt;=95%,"EXCELLENT",I20&gt;=85%,"VERY GOOD",I20&gt;=75%,"GOOD",I20&gt;=65%,"IMPROVEMENT",I20&gt;=40%,"POOR",I20&gt;=0%,"WORST")</f>
        <v>IMPROVEMENT</v>
      </c>
      <c r="P20" t="str">
        <v>S058</v>
      </c>
      <c r="Q20" t="str">
        <v>Ishita Agarwal</v>
      </c>
      <c r="R20" t="str">
        <v>10C</v>
      </c>
      <c r="S20" t="str">
        <v>Female</v>
      </c>
      <c r="T20">
        <v>89</v>
      </c>
      <c r="U20">
        <v>85</v>
      </c>
      <c r="V20">
        <v>93</v>
      </c>
      <c r="W20">
        <v>92</v>
      </c>
      <c r="X20">
        <v>0.97</v>
      </c>
      <c r="Y20">
        <v>359</v>
      </c>
      <c r="Z20">
        <v>0.89749999999999996</v>
      </c>
      <c r="AA20" t="str">
        <v>PASS</v>
      </c>
      <c r="AB20" t="str">
        <v>ELIGIBLE</v>
      </c>
      <c r="AC20" t="str">
        <v>EXCELLENT</v>
      </c>
    </row>
    <row r="21" spans="1:29" ht="20.25" customHeight="1">
      <c r="A21" s="9" t="s">
        <v>52</v>
      </c>
      <c r="B21" s="9" t="s">
        <v>53</v>
      </c>
      <c r="C21" s="9" t="s">
        <v>18</v>
      </c>
      <c r="D21" s="9" t="s">
        <v>15</v>
      </c>
      <c r="E21" s="9">
        <v>72</v>
      </c>
      <c r="F21" s="9">
        <v>75</v>
      </c>
      <c r="G21" s="9">
        <v>70</v>
      </c>
      <c r="H21" s="9">
        <v>78</v>
      </c>
      <c r="I21" s="11">
        <v>0.88</v>
      </c>
      <c r="J21" s="9">
        <f t="shared" si="0"/>
        <v>295</v>
      </c>
      <c r="K21" s="11">
        <f t="shared" si="1"/>
        <v>0.73750000000000004</v>
      </c>
      <c r="L21" s="9" t="str">
        <f t="shared" si="2"/>
        <v>PASS</v>
      </c>
      <c r="M21" s="9" t="str">
        <f t="shared" si="3"/>
        <v>ELIGIBLE</v>
      </c>
      <c r="N21" s="9" t="str" cm="1">
        <f t="array" ref="N21">_xlfn.IFS(I21&gt;=95%,"EXCELLENT",I21&gt;=85%,"VERY GOOD",I21&gt;=75%,"GOOD",I21&gt;=65%,"IMPROVEMENT",I21&gt;=40%,"POOR",I21&gt;=0%,"WORST")</f>
        <v>VERY GOOD</v>
      </c>
      <c r="P21" t="str">
        <v>S064</v>
      </c>
      <c r="Q21" t="str">
        <v>Navya Singh</v>
      </c>
      <c r="R21" t="str">
        <v>10C</v>
      </c>
      <c r="S21" t="str">
        <v>Female</v>
      </c>
      <c r="T21">
        <v>86</v>
      </c>
      <c r="U21">
        <v>91</v>
      </c>
      <c r="V21">
        <v>88</v>
      </c>
      <c r="W21">
        <v>94</v>
      </c>
      <c r="X21">
        <v>0.96</v>
      </c>
      <c r="Y21">
        <v>359</v>
      </c>
      <c r="Z21">
        <v>0.89749999999999996</v>
      </c>
      <c r="AA21" t="str">
        <v>PASS</v>
      </c>
      <c r="AB21" t="str">
        <v>ELIGIBLE</v>
      </c>
      <c r="AC21" t="str">
        <v>EXCELLENT</v>
      </c>
    </row>
    <row r="22" spans="1:29" ht="20.25" customHeight="1">
      <c r="A22" s="9" t="s">
        <v>54</v>
      </c>
      <c r="B22" s="9" t="s">
        <v>55</v>
      </c>
      <c r="C22" s="9" t="s">
        <v>11</v>
      </c>
      <c r="D22" s="9" t="s">
        <v>12</v>
      </c>
      <c r="E22" s="9">
        <v>89</v>
      </c>
      <c r="F22" s="9">
        <v>94</v>
      </c>
      <c r="G22" s="9">
        <v>91</v>
      </c>
      <c r="H22" s="9">
        <v>93</v>
      </c>
      <c r="I22" s="11">
        <v>0.96</v>
      </c>
      <c r="J22" s="9">
        <f t="shared" si="0"/>
        <v>367</v>
      </c>
      <c r="K22" s="11">
        <f t="shared" si="1"/>
        <v>0.91749999999999998</v>
      </c>
      <c r="L22" s="9" t="str">
        <f t="shared" si="2"/>
        <v>PASS</v>
      </c>
      <c r="M22" s="9" t="str">
        <f t="shared" si="3"/>
        <v>ELIGIBLE</v>
      </c>
      <c r="N22" s="9" t="str" cm="1">
        <f t="array" ref="N22">_xlfn.IFS(I22&gt;=95%,"EXCELLENT",I22&gt;=85%,"VERY GOOD",I22&gt;=75%,"GOOD",I22&gt;=65%,"IMPROVEMENT",I22&gt;=40%,"POOR",I22&gt;=0%,"WORST")</f>
        <v>EXCELLENT</v>
      </c>
      <c r="P22" t="str">
        <v>S012</v>
      </c>
      <c r="Q22" t="str">
        <v>Saanvi Rao</v>
      </c>
      <c r="R22" t="str">
        <v>10A</v>
      </c>
      <c r="S22" t="str">
        <v>Female</v>
      </c>
      <c r="T22">
        <v>88</v>
      </c>
      <c r="U22">
        <v>91</v>
      </c>
      <c r="V22">
        <v>85</v>
      </c>
      <c r="W22">
        <v>94</v>
      </c>
      <c r="X22">
        <v>0.97</v>
      </c>
      <c r="Y22">
        <v>358</v>
      </c>
      <c r="Z22">
        <v>0.89500000000000002</v>
      </c>
      <c r="AA22" t="str">
        <v>PASS</v>
      </c>
      <c r="AB22" t="str">
        <v>ELIGIBLE</v>
      </c>
      <c r="AC22" t="str">
        <v>EXCELLENT</v>
      </c>
    </row>
    <row r="23" spans="1:29" ht="20.25" customHeight="1">
      <c r="A23" s="9" t="s">
        <v>56</v>
      </c>
      <c r="B23" s="9" t="s">
        <v>57</v>
      </c>
      <c r="C23" s="9" t="s">
        <v>21</v>
      </c>
      <c r="D23" s="9" t="s">
        <v>15</v>
      </c>
      <c r="E23" s="9">
        <v>64</v>
      </c>
      <c r="F23" s="9">
        <v>69</v>
      </c>
      <c r="G23" s="9">
        <v>62</v>
      </c>
      <c r="H23" s="9">
        <v>71</v>
      </c>
      <c r="I23" s="11">
        <v>0.82</v>
      </c>
      <c r="J23" s="9">
        <f t="shared" si="0"/>
        <v>266</v>
      </c>
      <c r="K23" s="11">
        <f t="shared" si="1"/>
        <v>0.66500000000000004</v>
      </c>
      <c r="L23" s="9" t="str">
        <f t="shared" si="2"/>
        <v>PASS</v>
      </c>
      <c r="M23" s="9" t="str">
        <f t="shared" si="3"/>
        <v>ELIGIBLE</v>
      </c>
      <c r="N23" s="9" t="str" cm="1">
        <f t="array" ref="N23">_xlfn.IFS(I23&gt;=95%,"EXCELLENT",I23&gt;=85%,"VERY GOOD",I23&gt;=75%,"GOOD",I23&gt;=65%,"IMPROVEMENT",I23&gt;=40%,"POOR",I23&gt;=0%,"WORST")</f>
        <v>GOOD</v>
      </c>
      <c r="P23" t="str">
        <v>S068</v>
      </c>
      <c r="Q23" t="str">
        <v>Sara Nair</v>
      </c>
      <c r="R23" t="str">
        <v>10B</v>
      </c>
      <c r="S23" t="str">
        <v>Female</v>
      </c>
      <c r="T23">
        <v>88</v>
      </c>
      <c r="U23">
        <v>92</v>
      </c>
      <c r="V23">
        <v>86</v>
      </c>
      <c r="W23">
        <v>90</v>
      </c>
      <c r="X23">
        <v>0.98</v>
      </c>
      <c r="Y23">
        <v>356</v>
      </c>
      <c r="Z23">
        <v>0.89</v>
      </c>
      <c r="AA23" t="str">
        <v>PASS</v>
      </c>
      <c r="AB23" t="str">
        <v>ELIGIBLE</v>
      </c>
      <c r="AC23" t="str">
        <v>EXCELLENT</v>
      </c>
    </row>
    <row r="24" spans="1:29" ht="20.25" customHeight="1">
      <c r="A24" s="9" t="s">
        <v>58</v>
      </c>
      <c r="B24" s="9" t="s">
        <v>59</v>
      </c>
      <c r="C24" s="9" t="s">
        <v>18</v>
      </c>
      <c r="D24" s="9" t="s">
        <v>12</v>
      </c>
      <c r="E24" s="9">
        <v>58</v>
      </c>
      <c r="F24" s="9">
        <v>61</v>
      </c>
      <c r="G24" s="9">
        <v>55</v>
      </c>
      <c r="H24" s="9">
        <v>67</v>
      </c>
      <c r="I24" s="11">
        <v>0.79</v>
      </c>
      <c r="J24" s="9">
        <f t="shared" si="0"/>
        <v>241</v>
      </c>
      <c r="K24" s="11">
        <f t="shared" si="1"/>
        <v>0.60250000000000004</v>
      </c>
      <c r="L24" s="9" t="str">
        <f t="shared" si="2"/>
        <v>PASS</v>
      </c>
      <c r="M24" s="9" t="str">
        <f t="shared" si="3"/>
        <v>ELIGIBLE</v>
      </c>
      <c r="N24" s="9" t="str" cm="1">
        <f t="array" ref="N24">_xlfn.IFS(I24&gt;=95%,"EXCELLENT",I24&gt;=85%,"VERY GOOD",I24&gt;=75%,"GOOD",I24&gt;=65%,"IMPROVEMENT",I24&gt;=40%,"POOR",I24&gt;=0%,"WORST")</f>
        <v>GOOD</v>
      </c>
      <c r="P24" t="str">
        <v>S097</v>
      </c>
      <c r="Q24" t="str">
        <v>Vihaan Patel</v>
      </c>
      <c r="R24" t="str">
        <v>10C</v>
      </c>
      <c r="S24" t="str">
        <v>Male</v>
      </c>
      <c r="T24">
        <v>88</v>
      </c>
      <c r="U24">
        <v>86</v>
      </c>
      <c r="V24">
        <v>90</v>
      </c>
      <c r="W24">
        <v>92</v>
      </c>
      <c r="X24">
        <v>0.96</v>
      </c>
      <c r="Y24">
        <v>356</v>
      </c>
      <c r="Z24">
        <v>0.89</v>
      </c>
      <c r="AA24" t="str">
        <v>PASS</v>
      </c>
      <c r="AB24" t="str">
        <v>ELIGIBLE</v>
      </c>
      <c r="AC24" t="str">
        <v>EXCELLENT</v>
      </c>
    </row>
    <row r="25" spans="1:29" ht="20.25" customHeight="1">
      <c r="A25" s="9" t="s">
        <v>60</v>
      </c>
      <c r="B25" s="9" t="s">
        <v>61</v>
      </c>
      <c r="C25" s="9" t="s">
        <v>11</v>
      </c>
      <c r="D25" s="9" t="s">
        <v>15</v>
      </c>
      <c r="E25" s="9">
        <v>77</v>
      </c>
      <c r="F25" s="9">
        <v>83</v>
      </c>
      <c r="G25" s="9">
        <v>80</v>
      </c>
      <c r="H25" s="9">
        <v>85</v>
      </c>
      <c r="I25" s="11">
        <v>0.94</v>
      </c>
      <c r="J25" s="9">
        <f t="shared" si="0"/>
        <v>325</v>
      </c>
      <c r="K25" s="11">
        <f t="shared" si="1"/>
        <v>0.8125</v>
      </c>
      <c r="L25" s="9" t="str">
        <f t="shared" si="2"/>
        <v>PASS</v>
      </c>
      <c r="M25" s="9" t="str">
        <f t="shared" si="3"/>
        <v>ELIGIBLE</v>
      </c>
      <c r="N25" s="9" t="str" cm="1">
        <f t="array" ref="N25">_xlfn.IFS(I25&gt;=95%,"EXCELLENT",I25&gt;=85%,"VERY GOOD",I25&gt;=75%,"GOOD",I25&gt;=65%,"IMPROVEMENT",I25&gt;=40%,"POOR",I25&gt;=0%,"WORST")</f>
        <v>VERY GOOD</v>
      </c>
      <c r="P25" t="str">
        <v>S045</v>
      </c>
      <c r="Q25" t="str">
        <v>Shivansh Kapoor</v>
      </c>
      <c r="R25" t="str">
        <v>10A</v>
      </c>
      <c r="S25" t="str">
        <v>Male</v>
      </c>
      <c r="T25">
        <v>87</v>
      </c>
      <c r="U25">
        <v>90</v>
      </c>
      <c r="V25">
        <v>84</v>
      </c>
      <c r="W25">
        <v>91</v>
      </c>
      <c r="X25">
        <v>0.95</v>
      </c>
      <c r="Y25">
        <v>352</v>
      </c>
      <c r="Z25">
        <v>0.88</v>
      </c>
      <c r="AA25" t="str">
        <v>PASS</v>
      </c>
      <c r="AB25" t="str">
        <v>ELIGIBLE</v>
      </c>
      <c r="AC25" t="str">
        <v>EXCELLENT</v>
      </c>
    </row>
    <row r="26" spans="1:29" ht="20.25" customHeight="1">
      <c r="A26" s="9" t="s">
        <v>62</v>
      </c>
      <c r="B26" s="9" t="s">
        <v>63</v>
      </c>
      <c r="C26" s="9" t="s">
        <v>21</v>
      </c>
      <c r="D26" s="9" t="s">
        <v>12</v>
      </c>
      <c r="E26" s="9">
        <v>44</v>
      </c>
      <c r="F26" s="9">
        <v>51</v>
      </c>
      <c r="G26" s="9">
        <v>46</v>
      </c>
      <c r="H26" s="9">
        <v>55</v>
      </c>
      <c r="I26" s="11">
        <v>0.73</v>
      </c>
      <c r="J26" s="9">
        <f t="shared" si="0"/>
        <v>196</v>
      </c>
      <c r="K26" s="11">
        <f t="shared" si="1"/>
        <v>0.49</v>
      </c>
      <c r="L26" s="9" t="str">
        <f t="shared" si="2"/>
        <v>PASS</v>
      </c>
      <c r="M26" s="9" t="str">
        <f t="shared" si="3"/>
        <v>NOT ELIGIBLE</v>
      </c>
      <c r="N26" s="9" t="str" cm="1">
        <f t="array" ref="N26">_xlfn.IFS(I26&gt;=95%,"EXCELLENT",I26&gt;=85%,"VERY GOOD",I26&gt;=75%,"GOOD",I26&gt;=65%,"IMPROVEMENT",I26&gt;=40%,"POOR",I26&gt;=0%,"WORST")</f>
        <v>IMPROVEMENT</v>
      </c>
      <c r="P26" t="str">
        <v>S077</v>
      </c>
      <c r="Q26" t="str">
        <v>Anaya Gupta</v>
      </c>
      <c r="R26" t="str">
        <v>10B</v>
      </c>
      <c r="S26" t="str">
        <v>Female</v>
      </c>
      <c r="T26">
        <v>85</v>
      </c>
      <c r="U26">
        <v>88</v>
      </c>
      <c r="V26">
        <v>82</v>
      </c>
      <c r="W26">
        <v>91</v>
      </c>
      <c r="X26">
        <v>0.95</v>
      </c>
      <c r="Y26">
        <v>346</v>
      </c>
      <c r="Z26">
        <v>0.86499999999999999</v>
      </c>
      <c r="AA26" t="str">
        <v>PASS</v>
      </c>
      <c r="AB26" t="str">
        <v>ELIGIBLE</v>
      </c>
      <c r="AC26" t="str">
        <v>EXCELLENT</v>
      </c>
    </row>
    <row r="27" spans="1:29" ht="20.25" customHeight="1">
      <c r="A27" s="9" t="s">
        <v>64</v>
      </c>
      <c r="B27" s="9" t="s">
        <v>65</v>
      </c>
      <c r="C27" s="9" t="s">
        <v>18</v>
      </c>
      <c r="D27" s="9" t="s">
        <v>15</v>
      </c>
      <c r="E27" s="9">
        <v>86</v>
      </c>
      <c r="F27" s="9">
        <v>78</v>
      </c>
      <c r="G27" s="9">
        <v>89</v>
      </c>
      <c r="H27" s="9">
        <v>92</v>
      </c>
      <c r="I27" s="11">
        <v>0.95</v>
      </c>
      <c r="J27" s="9">
        <f t="shared" si="0"/>
        <v>345</v>
      </c>
      <c r="K27" s="11">
        <f t="shared" si="1"/>
        <v>0.86250000000000004</v>
      </c>
      <c r="L27" s="9" t="str">
        <f t="shared" si="2"/>
        <v>PASS</v>
      </c>
      <c r="M27" s="9" t="str">
        <f t="shared" si="3"/>
        <v>ELIGIBLE</v>
      </c>
      <c r="N27" s="9" t="str" cm="1">
        <f t="array" ref="N27">_xlfn.IFS(I27&gt;=95%,"EXCELLENT",I27&gt;=85%,"VERY GOOD",I27&gt;=75%,"GOOD",I27&gt;=65%,"IMPROVEMENT",I27&gt;=40%,"POOR",I27&gt;=0%,"WORST")</f>
        <v>EXCELLENT</v>
      </c>
      <c r="P27" t="str">
        <v>S026</v>
      </c>
      <c r="Q27" t="str">
        <v>Aditi Kulkarni</v>
      </c>
      <c r="R27" t="str">
        <v>10B</v>
      </c>
      <c r="S27" t="str">
        <v>Female</v>
      </c>
      <c r="T27">
        <v>86</v>
      </c>
      <c r="U27">
        <v>78</v>
      </c>
      <c r="V27">
        <v>89</v>
      </c>
      <c r="W27">
        <v>92</v>
      </c>
      <c r="X27">
        <v>0.95</v>
      </c>
      <c r="Y27">
        <v>345</v>
      </c>
      <c r="Z27">
        <v>0.86250000000000004</v>
      </c>
      <c r="AA27" t="str">
        <v>PASS</v>
      </c>
      <c r="AB27" t="str">
        <v>ELIGIBLE</v>
      </c>
      <c r="AC27" t="str">
        <v>EXCELLENT</v>
      </c>
    </row>
    <row r="28" spans="1:29" ht="20.25" customHeight="1">
      <c r="A28" s="9" t="s">
        <v>66</v>
      </c>
      <c r="B28" s="9" t="s">
        <v>67</v>
      </c>
      <c r="C28" s="9" t="s">
        <v>11</v>
      </c>
      <c r="D28" s="9" t="s">
        <v>12</v>
      </c>
      <c r="E28" s="9">
        <v>71</v>
      </c>
      <c r="F28" s="9">
        <v>66</v>
      </c>
      <c r="G28" s="9">
        <v>74</v>
      </c>
      <c r="H28" s="9">
        <v>80</v>
      </c>
      <c r="I28" s="11">
        <v>0.86</v>
      </c>
      <c r="J28" s="9">
        <f t="shared" si="0"/>
        <v>291</v>
      </c>
      <c r="K28" s="11">
        <f t="shared" si="1"/>
        <v>0.72750000000000004</v>
      </c>
      <c r="L28" s="9" t="str">
        <f t="shared" si="2"/>
        <v>PASS</v>
      </c>
      <c r="M28" s="9" t="str">
        <f t="shared" si="3"/>
        <v>ELIGIBLE</v>
      </c>
      <c r="N28" s="9" t="str" cm="1">
        <f t="array" ref="N28">_xlfn.IFS(I28&gt;=95%,"EXCELLENT",I28&gt;=85%,"VERY GOOD",I28&gt;=75%,"GOOD",I28&gt;=65%,"IMPROVEMENT",I28&gt;=40%,"POOR",I28&gt;=0%,"WORST")</f>
        <v>VERY GOOD</v>
      </c>
      <c r="P28" t="str">
        <v>S032</v>
      </c>
      <c r="Q28" t="str">
        <v>Avni Desai</v>
      </c>
      <c r="R28" t="str">
        <v>10B</v>
      </c>
      <c r="S28" t="str">
        <v>Female</v>
      </c>
      <c r="T28">
        <v>85</v>
      </c>
      <c r="U28">
        <v>87</v>
      </c>
      <c r="V28">
        <v>83</v>
      </c>
      <c r="W28">
        <v>89</v>
      </c>
      <c r="X28">
        <v>0.96</v>
      </c>
      <c r="Y28">
        <v>344</v>
      </c>
      <c r="Z28">
        <v>0.86</v>
      </c>
      <c r="AA28" t="str">
        <v>PASS</v>
      </c>
      <c r="AB28" t="str">
        <v>ELIGIBLE</v>
      </c>
      <c r="AC28" t="str">
        <v>EXCELLENT</v>
      </c>
    </row>
    <row r="29" spans="1:29" ht="20.25" customHeight="1">
      <c r="A29" s="9" t="s">
        <v>68</v>
      </c>
      <c r="B29" s="9" t="s">
        <v>69</v>
      </c>
      <c r="C29" s="9" t="s">
        <v>21</v>
      </c>
      <c r="D29" s="9" t="s">
        <v>15</v>
      </c>
      <c r="E29" s="9">
        <v>92</v>
      </c>
      <c r="F29" s="9">
        <v>95</v>
      </c>
      <c r="G29" s="9">
        <v>90</v>
      </c>
      <c r="H29" s="9">
        <v>97</v>
      </c>
      <c r="I29" s="11">
        <v>0.99</v>
      </c>
      <c r="J29" s="9">
        <f t="shared" si="0"/>
        <v>374</v>
      </c>
      <c r="K29" s="11">
        <f t="shared" si="1"/>
        <v>0.93500000000000005</v>
      </c>
      <c r="L29" s="9" t="str">
        <f t="shared" si="2"/>
        <v>PASS</v>
      </c>
      <c r="M29" s="9" t="str">
        <f t="shared" si="3"/>
        <v>ELIGIBLE</v>
      </c>
      <c r="N29" s="9" t="str" cm="1">
        <f t="array" ref="N29">_xlfn.IFS(I29&gt;=95%,"EXCELLENT",I29&gt;=85%,"VERY GOOD",I29&gt;=75%,"GOOD",I29&gt;=65%,"IMPROVEMENT",I29&gt;=40%,"POOR",I29&gt;=0%,"WORST")</f>
        <v>EXCELLENT</v>
      </c>
      <c r="P29" t="str">
        <v>S006</v>
      </c>
      <c r="Q29" t="str">
        <v>Diya Joshi</v>
      </c>
      <c r="R29" t="str">
        <v>10A</v>
      </c>
      <c r="S29" t="str">
        <v>Female</v>
      </c>
      <c r="T29">
        <v>84</v>
      </c>
      <c r="U29">
        <v>79</v>
      </c>
      <c r="V29">
        <v>88</v>
      </c>
      <c r="W29">
        <v>91</v>
      </c>
      <c r="X29">
        <v>0.95</v>
      </c>
      <c r="Y29">
        <v>342</v>
      </c>
      <c r="Z29">
        <v>0.85499999999999998</v>
      </c>
      <c r="AA29" t="str">
        <v>PASS</v>
      </c>
      <c r="AB29" t="str">
        <v>ELIGIBLE</v>
      </c>
      <c r="AC29" t="str">
        <v>EXCELLENT</v>
      </c>
    </row>
    <row r="30" spans="1:29" ht="20.25" customHeight="1">
      <c r="A30" s="9" t="s">
        <v>70</v>
      </c>
      <c r="B30" s="9" t="s">
        <v>71</v>
      </c>
      <c r="C30" s="9" t="s">
        <v>18</v>
      </c>
      <c r="D30" s="9" t="s">
        <v>12</v>
      </c>
      <c r="E30" s="9">
        <v>49</v>
      </c>
      <c r="F30" s="9">
        <v>58</v>
      </c>
      <c r="G30" s="9">
        <v>52</v>
      </c>
      <c r="H30" s="9">
        <v>60</v>
      </c>
      <c r="I30" s="11">
        <v>0.75</v>
      </c>
      <c r="J30" s="9">
        <f t="shared" si="0"/>
        <v>219</v>
      </c>
      <c r="K30" s="11">
        <f t="shared" si="1"/>
        <v>0.54749999999999999</v>
      </c>
      <c r="L30" s="9" t="str">
        <f t="shared" si="2"/>
        <v>PASS</v>
      </c>
      <c r="M30" s="9" t="str">
        <f t="shared" si="3"/>
        <v>ELIGIBLE</v>
      </c>
      <c r="N30" s="9" t="str" cm="1">
        <f t="array" ref="N30">_xlfn.IFS(I30&gt;=95%,"EXCELLENT",I30&gt;=85%,"VERY GOOD",I30&gt;=75%,"GOOD",I30&gt;=65%,"IMPROVEMENT",I30&gt;=40%,"POOR",I30&gt;=0%,"WORST")</f>
        <v>GOOD</v>
      </c>
      <c r="P30" t="str">
        <v>S051</v>
      </c>
      <c r="Q30" t="str">
        <v>Shrey Gupta</v>
      </c>
      <c r="R30" t="str">
        <v>10A</v>
      </c>
      <c r="S30" t="str">
        <v>Male</v>
      </c>
      <c r="T30">
        <v>84</v>
      </c>
      <c r="U30">
        <v>89</v>
      </c>
      <c r="V30">
        <v>81</v>
      </c>
      <c r="W30">
        <v>86</v>
      </c>
      <c r="X30">
        <v>0.94</v>
      </c>
      <c r="Y30">
        <v>340</v>
      </c>
      <c r="Z30">
        <v>0.85</v>
      </c>
      <c r="AA30" t="str">
        <v>PASS</v>
      </c>
      <c r="AB30" t="str">
        <v>ELIGIBLE</v>
      </c>
      <c r="AC30" t="str">
        <v>VERY GOOD</v>
      </c>
    </row>
    <row r="31" spans="1:29" ht="20.25" customHeight="1">
      <c r="A31" s="9" t="s">
        <v>72</v>
      </c>
      <c r="B31" s="9" t="s">
        <v>73</v>
      </c>
      <c r="C31" s="9" t="s">
        <v>11</v>
      </c>
      <c r="D31" s="9" t="s">
        <v>15</v>
      </c>
      <c r="E31" s="9">
        <v>68</v>
      </c>
      <c r="F31" s="9">
        <v>73</v>
      </c>
      <c r="G31" s="9">
        <v>71</v>
      </c>
      <c r="H31" s="9">
        <v>76</v>
      </c>
      <c r="I31" s="11">
        <v>0.85</v>
      </c>
      <c r="J31" s="9">
        <f t="shared" si="0"/>
        <v>288</v>
      </c>
      <c r="K31" s="11">
        <f t="shared" si="1"/>
        <v>0.72</v>
      </c>
      <c r="L31" s="9" t="str">
        <f t="shared" si="2"/>
        <v>PASS</v>
      </c>
      <c r="M31" s="9" t="str">
        <f t="shared" si="3"/>
        <v>ELIGIBLE</v>
      </c>
      <c r="N31" s="9" t="str" cm="1">
        <f t="array" ref="N31">_xlfn.IFS(I31&gt;=95%,"EXCELLENT",I31&gt;=85%,"VERY GOOD",I31&gt;=75%,"GOOD",I31&gt;=65%,"IMPROVEMENT",I31&gt;=40%,"POOR",I31&gt;=0%,"WORST")</f>
        <v>VERY GOOD</v>
      </c>
      <c r="P31" t="str">
        <v>S072</v>
      </c>
      <c r="Q31" t="str">
        <v>Prisha Mehta</v>
      </c>
      <c r="R31" t="str">
        <v>10A</v>
      </c>
      <c r="S31" t="str">
        <v>Female</v>
      </c>
      <c r="T31">
        <v>81</v>
      </c>
      <c r="U31">
        <v>86</v>
      </c>
      <c r="V31">
        <v>83</v>
      </c>
      <c r="W31">
        <v>88</v>
      </c>
      <c r="X31">
        <v>0.94</v>
      </c>
      <c r="Y31">
        <v>338</v>
      </c>
      <c r="Z31">
        <v>0.84499999999999997</v>
      </c>
      <c r="AA31" t="str">
        <v>PASS</v>
      </c>
      <c r="AB31" t="str">
        <v>ELIGIBLE</v>
      </c>
      <c r="AC31" t="str">
        <v>VERY GOOD</v>
      </c>
    </row>
    <row r="32" spans="1:29" ht="20.25" customHeight="1">
      <c r="A32" s="9" t="s">
        <v>74</v>
      </c>
      <c r="B32" s="9" t="s">
        <v>75</v>
      </c>
      <c r="C32" s="9" t="s">
        <v>21</v>
      </c>
      <c r="D32" s="9" t="s">
        <v>12</v>
      </c>
      <c r="E32" s="9">
        <v>79</v>
      </c>
      <c r="F32" s="9">
        <v>82</v>
      </c>
      <c r="G32" s="9">
        <v>77</v>
      </c>
      <c r="H32" s="9">
        <v>84</v>
      </c>
      <c r="I32" s="11">
        <v>0.91</v>
      </c>
      <c r="J32" s="9">
        <f t="shared" si="0"/>
        <v>322</v>
      </c>
      <c r="K32" s="11">
        <f t="shared" si="1"/>
        <v>0.80500000000000005</v>
      </c>
      <c r="L32" s="9" t="str">
        <f t="shared" si="2"/>
        <v>PASS</v>
      </c>
      <c r="M32" s="9" t="str">
        <f t="shared" si="3"/>
        <v>ELIGIBLE</v>
      </c>
      <c r="N32" s="9" t="str" cm="1">
        <f t="array" ref="N32">_xlfn.IFS(I32&gt;=95%,"EXCELLENT",I32&gt;=85%,"VERY GOOD",I32&gt;=75%,"GOOD",I32&gt;=65%,"IMPROVEMENT",I32&gt;=40%,"POOR",I32&gt;=0%,"WORST")</f>
        <v>VERY GOOD</v>
      </c>
      <c r="P32" t="str">
        <v>S082</v>
      </c>
      <c r="Q32" t="str">
        <v>Ira Sharma</v>
      </c>
      <c r="R32" t="str">
        <v>10C</v>
      </c>
      <c r="S32" t="str">
        <v>Female</v>
      </c>
      <c r="T32">
        <v>83</v>
      </c>
      <c r="U32">
        <v>79</v>
      </c>
      <c r="V32">
        <v>87</v>
      </c>
      <c r="W32">
        <v>89</v>
      </c>
      <c r="X32">
        <v>0.93</v>
      </c>
      <c r="Y32">
        <v>338</v>
      </c>
      <c r="Z32">
        <v>0.84499999999999997</v>
      </c>
      <c r="AA32" t="str">
        <v>PASS</v>
      </c>
      <c r="AB32" t="str">
        <v>ELIGIBLE</v>
      </c>
      <c r="AC32" t="str">
        <v>VERY GOOD</v>
      </c>
    </row>
    <row r="33" spans="1:29" ht="20.25" customHeight="1">
      <c r="A33" s="9" t="s">
        <v>76</v>
      </c>
      <c r="B33" s="9" t="s">
        <v>77</v>
      </c>
      <c r="C33" s="9" t="s">
        <v>18</v>
      </c>
      <c r="D33" s="9" t="s">
        <v>15</v>
      </c>
      <c r="E33" s="9">
        <v>85</v>
      </c>
      <c r="F33" s="9">
        <v>87</v>
      </c>
      <c r="G33" s="9">
        <v>83</v>
      </c>
      <c r="H33" s="9">
        <v>89</v>
      </c>
      <c r="I33" s="11">
        <v>0.96</v>
      </c>
      <c r="J33" s="9">
        <f t="shared" si="0"/>
        <v>344</v>
      </c>
      <c r="K33" s="11">
        <f t="shared" si="1"/>
        <v>0.86</v>
      </c>
      <c r="L33" s="9" t="str">
        <f t="shared" si="2"/>
        <v>PASS</v>
      </c>
      <c r="M33" s="9" t="str">
        <f t="shared" si="3"/>
        <v>ELIGIBLE</v>
      </c>
      <c r="N33" s="9" t="str" cm="1">
        <f t="array" ref="N33">_xlfn.IFS(I33&gt;=95%,"EXCELLENT",I33&gt;=85%,"VERY GOOD",I33&gt;=75%,"GOOD",I33&gt;=65%,"IMPROVEMENT",I33&gt;=40%,"POOR",I33&gt;=0%,"WORST")</f>
        <v>EXCELLENT</v>
      </c>
      <c r="P33" t="str">
        <v>S042</v>
      </c>
      <c r="Q33" t="str">
        <v>Siya Bansal</v>
      </c>
      <c r="R33" t="str">
        <v>10A</v>
      </c>
      <c r="S33" t="str">
        <v>Female</v>
      </c>
      <c r="T33">
        <v>83</v>
      </c>
      <c r="U33">
        <v>80</v>
      </c>
      <c r="V33">
        <v>86</v>
      </c>
      <c r="W33">
        <v>88</v>
      </c>
      <c r="X33">
        <v>0.92</v>
      </c>
      <c r="Y33">
        <v>337</v>
      </c>
      <c r="Z33">
        <v>0.84250000000000003</v>
      </c>
      <c r="AA33" t="str">
        <v>PASS</v>
      </c>
      <c r="AB33" t="str">
        <v>ELIGIBLE</v>
      </c>
      <c r="AC33" t="str">
        <v>VERY GOOD</v>
      </c>
    </row>
    <row r="34" spans="1:29" ht="20.25" customHeight="1">
      <c r="A34" s="9" t="s">
        <v>78</v>
      </c>
      <c r="B34" s="9" t="s">
        <v>79</v>
      </c>
      <c r="C34" s="9" t="s">
        <v>11</v>
      </c>
      <c r="D34" s="9" t="s">
        <v>12</v>
      </c>
      <c r="E34" s="9">
        <v>52</v>
      </c>
      <c r="F34" s="9">
        <v>47</v>
      </c>
      <c r="G34" s="9">
        <v>54</v>
      </c>
      <c r="H34" s="9">
        <v>62</v>
      </c>
      <c r="I34" s="11">
        <v>0.77</v>
      </c>
      <c r="J34" s="9">
        <f t="shared" si="0"/>
        <v>215</v>
      </c>
      <c r="K34" s="11">
        <f t="shared" si="1"/>
        <v>0.53749999999999998</v>
      </c>
      <c r="L34" s="9" t="str">
        <f t="shared" si="2"/>
        <v>PASS</v>
      </c>
      <c r="M34" s="9" t="str">
        <f t="shared" si="3"/>
        <v>ELIGIBLE</v>
      </c>
      <c r="N34" s="9" t="str" cm="1">
        <f t="array" ref="N34">_xlfn.IFS(I34&gt;=95%,"EXCELLENT",I34&gt;=85%,"VERY GOOD",I34&gt;=75%,"GOOD",I34&gt;=65%,"IMPROVEMENT",I34&gt;=40%,"POOR",I34&gt;=0%,"WORST")</f>
        <v>GOOD</v>
      </c>
      <c r="P34" t="str">
        <v>S011</v>
      </c>
      <c r="Q34" t="str">
        <v>Vihaan Singh</v>
      </c>
      <c r="R34" t="str">
        <v>10B</v>
      </c>
      <c r="S34" t="str">
        <v>Male</v>
      </c>
      <c r="T34">
        <v>82</v>
      </c>
      <c r="U34">
        <v>86</v>
      </c>
      <c r="V34">
        <v>79</v>
      </c>
      <c r="W34">
        <v>88</v>
      </c>
      <c r="X34">
        <v>0.93</v>
      </c>
      <c r="Y34">
        <v>335</v>
      </c>
      <c r="Z34">
        <v>0.83750000000000002</v>
      </c>
      <c r="AA34" t="str">
        <v>PASS</v>
      </c>
      <c r="AB34" t="str">
        <v>ELIGIBLE</v>
      </c>
      <c r="AC34" t="str">
        <v>VERY GOOD</v>
      </c>
    </row>
    <row r="35" spans="1:29" ht="20.25" customHeight="1">
      <c r="A35" s="9" t="s">
        <v>80</v>
      </c>
      <c r="B35" s="9" t="s">
        <v>81</v>
      </c>
      <c r="C35" s="9" t="s">
        <v>21</v>
      </c>
      <c r="D35" s="9" t="s">
        <v>15</v>
      </c>
      <c r="E35" s="9">
        <v>74</v>
      </c>
      <c r="F35" s="9">
        <v>79</v>
      </c>
      <c r="G35" s="9">
        <v>76</v>
      </c>
      <c r="H35" s="9">
        <v>81</v>
      </c>
      <c r="I35" s="11">
        <v>0.89</v>
      </c>
      <c r="J35" s="9">
        <f t="shared" si="0"/>
        <v>310</v>
      </c>
      <c r="K35" s="11">
        <f t="shared" si="1"/>
        <v>0.77500000000000002</v>
      </c>
      <c r="L35" s="9" t="str">
        <f t="shared" si="2"/>
        <v>PASS</v>
      </c>
      <c r="M35" s="9" t="str">
        <f t="shared" si="3"/>
        <v>ELIGIBLE</v>
      </c>
      <c r="N35" s="9" t="str" cm="1">
        <f t="array" ref="N35">_xlfn.IFS(I35&gt;=95%,"EXCELLENT",I35&gt;=85%,"VERY GOOD",I35&gt;=75%,"GOOD",I35&gt;=65%,"IMPROVEMENT",I35&gt;=40%,"POOR",I35&gt;=0%,"WORST")</f>
        <v>VERY GOOD</v>
      </c>
      <c r="P35" t="str">
        <v>S056</v>
      </c>
      <c r="Q35" t="str">
        <v>Pranavi Kulkarni</v>
      </c>
      <c r="R35" t="str">
        <v>10B</v>
      </c>
      <c r="S35" t="str">
        <v>Female</v>
      </c>
      <c r="T35">
        <v>82</v>
      </c>
      <c r="U35">
        <v>78</v>
      </c>
      <c r="V35">
        <v>85</v>
      </c>
      <c r="W35">
        <v>90</v>
      </c>
      <c r="X35">
        <v>0.93</v>
      </c>
      <c r="Y35">
        <v>335</v>
      </c>
      <c r="Z35">
        <v>0.83750000000000002</v>
      </c>
      <c r="AA35" t="str">
        <v>PASS</v>
      </c>
      <c r="AB35" t="str">
        <v>ELIGIBLE</v>
      </c>
      <c r="AC35" t="str">
        <v>VERY GOOD</v>
      </c>
    </row>
    <row r="36" spans="1:29" ht="20.25" customHeight="1">
      <c r="A36" s="9" t="s">
        <v>82</v>
      </c>
      <c r="B36" s="9" t="s">
        <v>83</v>
      </c>
      <c r="C36" s="9" t="s">
        <v>18</v>
      </c>
      <c r="D36" s="9" t="s">
        <v>12</v>
      </c>
      <c r="E36" s="9">
        <v>63</v>
      </c>
      <c r="F36" s="9">
        <v>59</v>
      </c>
      <c r="G36" s="9">
        <v>66</v>
      </c>
      <c r="H36" s="9">
        <v>70</v>
      </c>
      <c r="I36" s="11">
        <v>0.8</v>
      </c>
      <c r="J36" s="9">
        <f t="shared" si="0"/>
        <v>258</v>
      </c>
      <c r="K36" s="11">
        <f t="shared" si="1"/>
        <v>0.64500000000000002</v>
      </c>
      <c r="L36" s="9" t="str">
        <f t="shared" si="2"/>
        <v>PASS</v>
      </c>
      <c r="M36" s="9" t="str">
        <f t="shared" si="3"/>
        <v>ELIGIBLE</v>
      </c>
      <c r="N36" s="9" t="str" cm="1">
        <f t="array" ref="N36">_xlfn.IFS(I36&gt;=95%,"EXCELLENT",I36&gt;=85%,"VERY GOOD",I36&gt;=75%,"GOOD",I36&gt;=65%,"IMPROVEMENT",I36&gt;=40%,"POOR",I36&gt;=0%,"WORST")</f>
        <v>GOOD</v>
      </c>
      <c r="P36" t="str">
        <v>S092</v>
      </c>
      <c r="Q36" t="str">
        <v>Diya Mehta</v>
      </c>
      <c r="R36" t="str">
        <v>10B</v>
      </c>
      <c r="S36" t="str">
        <v>Female</v>
      </c>
      <c r="T36">
        <v>82</v>
      </c>
      <c r="U36">
        <v>80</v>
      </c>
      <c r="V36">
        <v>85</v>
      </c>
      <c r="W36">
        <v>88</v>
      </c>
      <c r="X36">
        <v>0.94</v>
      </c>
      <c r="Y36">
        <v>335</v>
      </c>
      <c r="Z36">
        <v>0.83750000000000002</v>
      </c>
      <c r="AA36" t="str">
        <v>PASS</v>
      </c>
      <c r="AB36" t="str">
        <v>ELIGIBLE</v>
      </c>
      <c r="AC36" t="str">
        <v>VERY GOOD</v>
      </c>
    </row>
    <row r="37" spans="1:29" ht="20.25" customHeight="1">
      <c r="A37" s="9" t="s">
        <v>84</v>
      </c>
      <c r="B37" s="9" t="s">
        <v>85</v>
      </c>
      <c r="C37" s="9" t="s">
        <v>11</v>
      </c>
      <c r="D37" s="9" t="s">
        <v>15</v>
      </c>
      <c r="E37" s="9">
        <v>97</v>
      </c>
      <c r="F37" s="9">
        <v>93</v>
      </c>
      <c r="G37" s="9">
        <v>95</v>
      </c>
      <c r="H37" s="9">
        <v>98</v>
      </c>
      <c r="I37" s="11">
        <v>1</v>
      </c>
      <c r="J37" s="9">
        <f t="shared" si="0"/>
        <v>383</v>
      </c>
      <c r="K37" s="11">
        <f t="shared" si="1"/>
        <v>0.95750000000000002</v>
      </c>
      <c r="L37" s="9" t="str">
        <f t="shared" si="2"/>
        <v>PASS</v>
      </c>
      <c r="M37" s="9" t="str">
        <f t="shared" si="3"/>
        <v>ELIGIBLE</v>
      </c>
      <c r="N37" s="9" t="str" cm="1">
        <f t="array" ref="N37">_xlfn.IFS(I37&gt;=95%,"EXCELLENT",I37&gt;=85%,"VERY GOOD",I37&gt;=75%,"GOOD",I37&gt;=65%,"IMPROVEMENT",I37&gt;=40%,"POOR",I37&gt;=0%,"WORST")</f>
        <v>EXCELLENT</v>
      </c>
      <c r="P37" t="str">
        <v>S086</v>
      </c>
      <c r="Q37" t="str">
        <v>Anvi Verma</v>
      </c>
      <c r="R37" t="str">
        <v>10B</v>
      </c>
      <c r="S37" t="str">
        <v>Female</v>
      </c>
      <c r="T37">
        <v>79</v>
      </c>
      <c r="U37">
        <v>85</v>
      </c>
      <c r="V37">
        <v>82</v>
      </c>
      <c r="W37">
        <v>86</v>
      </c>
      <c r="X37">
        <v>0.92</v>
      </c>
      <c r="Y37">
        <v>332</v>
      </c>
      <c r="Z37">
        <v>0.83</v>
      </c>
      <c r="AA37" t="str">
        <v>PASS</v>
      </c>
      <c r="AB37" t="str">
        <v>ELIGIBLE</v>
      </c>
      <c r="AC37" t="str">
        <v>VERY GOOD</v>
      </c>
    </row>
    <row r="38" spans="1:29" ht="20.25" customHeight="1">
      <c r="A38" s="9" t="s">
        <v>86</v>
      </c>
      <c r="B38" s="9" t="s">
        <v>87</v>
      </c>
      <c r="C38" s="9" t="s">
        <v>21</v>
      </c>
      <c r="D38" s="9" t="s">
        <v>12</v>
      </c>
      <c r="E38" s="9">
        <v>41</v>
      </c>
      <c r="F38" s="9">
        <v>48</v>
      </c>
      <c r="G38" s="9">
        <v>45</v>
      </c>
      <c r="H38" s="9">
        <v>53</v>
      </c>
      <c r="I38" s="11">
        <v>0.71</v>
      </c>
      <c r="J38" s="9">
        <f t="shared" si="0"/>
        <v>187</v>
      </c>
      <c r="K38" s="11">
        <f t="shared" si="1"/>
        <v>0.46750000000000003</v>
      </c>
      <c r="L38" s="9" t="str">
        <f t="shared" si="2"/>
        <v>PASS</v>
      </c>
      <c r="M38" s="9" t="str">
        <f t="shared" si="3"/>
        <v>NOT ELIGIBLE</v>
      </c>
      <c r="N38" s="9" t="str" cm="1">
        <f t="array" ref="N38">_xlfn.IFS(I38&gt;=95%,"EXCELLENT",I38&gt;=85%,"VERY GOOD",I38&gt;=75%,"GOOD",I38&gt;=65%,"IMPROVEMENT",I38&gt;=40%,"POOR",I38&gt;=0%,"WORST")</f>
        <v>IMPROVEMENT</v>
      </c>
      <c r="P38" t="str">
        <v>S066</v>
      </c>
      <c r="Q38" t="str">
        <v>Suhana Iyer</v>
      </c>
      <c r="R38" t="str">
        <v>10A</v>
      </c>
      <c r="S38" t="str">
        <v>Female</v>
      </c>
      <c r="T38">
        <v>79</v>
      </c>
      <c r="U38">
        <v>84</v>
      </c>
      <c r="V38">
        <v>81</v>
      </c>
      <c r="W38">
        <v>87</v>
      </c>
      <c r="X38">
        <v>0.92</v>
      </c>
      <c r="Y38">
        <v>331</v>
      </c>
      <c r="Z38">
        <v>0.82750000000000001</v>
      </c>
      <c r="AA38" t="str">
        <v>PASS</v>
      </c>
      <c r="AB38" t="str">
        <v>ELIGIBLE</v>
      </c>
      <c r="AC38" t="str">
        <v>VERY GOOD</v>
      </c>
    </row>
    <row r="39" spans="1:29" ht="20.25" customHeight="1">
      <c r="A39" s="9" t="s">
        <v>88</v>
      </c>
      <c r="B39" s="9" t="s">
        <v>89</v>
      </c>
      <c r="C39" s="9" t="s">
        <v>18</v>
      </c>
      <c r="D39" s="9" t="s">
        <v>15</v>
      </c>
      <c r="E39" s="9">
        <v>80</v>
      </c>
      <c r="F39" s="9">
        <v>84</v>
      </c>
      <c r="G39" s="9">
        <v>78</v>
      </c>
      <c r="H39" s="9">
        <v>87</v>
      </c>
      <c r="I39" s="11">
        <v>0.93</v>
      </c>
      <c r="J39" s="9">
        <f t="shared" si="0"/>
        <v>329</v>
      </c>
      <c r="K39" s="11">
        <f t="shared" si="1"/>
        <v>0.82250000000000001</v>
      </c>
      <c r="L39" s="9" t="str">
        <f t="shared" si="2"/>
        <v>PASS</v>
      </c>
      <c r="M39" s="9" t="str">
        <f t="shared" si="3"/>
        <v>ELIGIBLE</v>
      </c>
      <c r="N39" s="9" t="str" cm="1">
        <f t="array" ref="N39">_xlfn.IFS(I39&gt;=95%,"EXCELLENT",I39&gt;=85%,"VERY GOOD",I39&gt;=75%,"GOOD",I39&gt;=65%,"IMPROVEMENT",I39&gt;=40%,"POOR",I39&gt;=0%,"WORST")</f>
        <v>VERY GOOD</v>
      </c>
      <c r="P39" t="str">
        <v>S038</v>
      </c>
      <c r="Q39" t="str">
        <v>Mahi Singh</v>
      </c>
      <c r="R39" t="str">
        <v>10B</v>
      </c>
      <c r="S39" t="str">
        <v>Female</v>
      </c>
      <c r="T39">
        <v>80</v>
      </c>
      <c r="U39">
        <v>84</v>
      </c>
      <c r="V39">
        <v>78</v>
      </c>
      <c r="W39">
        <v>87</v>
      </c>
      <c r="X39">
        <v>0.93</v>
      </c>
      <c r="Y39">
        <v>329</v>
      </c>
      <c r="Z39">
        <v>0.82250000000000001</v>
      </c>
      <c r="AA39" t="str">
        <v>PASS</v>
      </c>
      <c r="AB39" t="str">
        <v>ELIGIBLE</v>
      </c>
      <c r="AC39" t="str">
        <v>VERY GOOD</v>
      </c>
    </row>
    <row r="40" spans="1:29" ht="20.25" customHeight="1">
      <c r="A40" s="9" t="s">
        <v>90</v>
      </c>
      <c r="B40" s="9" t="s">
        <v>91</v>
      </c>
      <c r="C40" s="9" t="s">
        <v>11</v>
      </c>
      <c r="D40" s="9" t="s">
        <v>12</v>
      </c>
      <c r="E40" s="9">
        <v>67</v>
      </c>
      <c r="F40" s="9">
        <v>72</v>
      </c>
      <c r="G40" s="9">
        <v>69</v>
      </c>
      <c r="H40" s="9">
        <v>74</v>
      </c>
      <c r="I40" s="11">
        <v>0.83</v>
      </c>
      <c r="J40" s="9">
        <f t="shared" si="0"/>
        <v>282</v>
      </c>
      <c r="K40" s="11">
        <f t="shared" si="1"/>
        <v>0.70499999999999996</v>
      </c>
      <c r="L40" s="9" t="str">
        <f t="shared" si="2"/>
        <v>PASS</v>
      </c>
      <c r="M40" s="9" t="str">
        <f t="shared" si="3"/>
        <v>ELIGIBLE</v>
      </c>
      <c r="N40" s="9" t="str" cm="1">
        <f t="array" ref="N40">_xlfn.IFS(I40&gt;=95%,"EXCELLENT",I40&gt;=85%,"VERY GOOD",I40&gt;=75%,"GOOD",I40&gt;=65%,"IMPROVEMENT",I40&gt;=40%,"POOR",I40&gt;=0%,"WORST")</f>
        <v>GOOD</v>
      </c>
      <c r="P40" t="str">
        <v>S099</v>
      </c>
      <c r="Q40" t="str">
        <v>Arnav Nair</v>
      </c>
      <c r="R40" t="str">
        <v>10A</v>
      </c>
      <c r="S40" t="str">
        <v>Male</v>
      </c>
      <c r="T40">
        <v>80</v>
      </c>
      <c r="U40">
        <v>78</v>
      </c>
      <c r="V40">
        <v>84</v>
      </c>
      <c r="W40">
        <v>87</v>
      </c>
      <c r="X40">
        <v>0.9</v>
      </c>
      <c r="Y40">
        <v>329</v>
      </c>
      <c r="Z40">
        <v>0.82250000000000001</v>
      </c>
      <c r="AA40" t="str">
        <v>PASS</v>
      </c>
      <c r="AB40" t="str">
        <v>ELIGIBLE</v>
      </c>
      <c r="AC40" t="str">
        <v>VERY GOOD</v>
      </c>
    </row>
    <row r="41" spans="1:29" ht="20.25" customHeight="1">
      <c r="A41" s="9" t="s">
        <v>92</v>
      </c>
      <c r="B41" s="9" t="s">
        <v>93</v>
      </c>
      <c r="C41" s="9" t="s">
        <v>21</v>
      </c>
      <c r="D41" s="9" t="s">
        <v>15</v>
      </c>
      <c r="E41" s="9">
        <v>90</v>
      </c>
      <c r="F41" s="9">
        <v>86</v>
      </c>
      <c r="G41" s="9">
        <v>92</v>
      </c>
      <c r="H41" s="9">
        <v>95</v>
      </c>
      <c r="I41" s="11">
        <v>0.97</v>
      </c>
      <c r="J41" s="9">
        <f t="shared" si="0"/>
        <v>363</v>
      </c>
      <c r="K41" s="11">
        <f t="shared" si="1"/>
        <v>0.90749999999999997</v>
      </c>
      <c r="L41" s="9" t="str">
        <f t="shared" si="2"/>
        <v>PASS</v>
      </c>
      <c r="M41" s="9" t="str">
        <f t="shared" si="3"/>
        <v>ELIGIBLE</v>
      </c>
      <c r="N41" s="9" t="str" cm="1">
        <f t="array" ref="N41">_xlfn.IFS(I41&gt;=95%,"EXCELLENT",I41&gt;=85%,"VERY GOOD",I41&gt;=75%,"GOOD",I41&gt;=65%,"IMPROVEMENT",I41&gt;=40%,"POOR",I41&gt;=0%,"WORST")</f>
        <v>EXCELLENT</v>
      </c>
      <c r="P41" t="str">
        <v>S018</v>
      </c>
      <c r="Q41" t="str">
        <v>Aanya Jain</v>
      </c>
      <c r="R41" t="str">
        <v>10A</v>
      </c>
      <c r="S41" t="str">
        <v>Female</v>
      </c>
      <c r="T41">
        <v>81</v>
      </c>
      <c r="U41">
        <v>77</v>
      </c>
      <c r="V41">
        <v>84</v>
      </c>
      <c r="W41">
        <v>86</v>
      </c>
      <c r="X41">
        <v>0.91</v>
      </c>
      <c r="Y41">
        <v>328</v>
      </c>
      <c r="Z41">
        <v>0.82</v>
      </c>
      <c r="AA41" t="str">
        <v>PASS</v>
      </c>
      <c r="AB41" t="str">
        <v>ELIGIBLE</v>
      </c>
      <c r="AC41" t="str">
        <v>VERY GOOD</v>
      </c>
    </row>
    <row r="42" spans="1:29" ht="20.25" customHeight="1">
      <c r="A42" s="9" t="s">
        <v>94</v>
      </c>
      <c r="B42" s="9" t="s">
        <v>95</v>
      </c>
      <c r="C42" s="9" t="s">
        <v>18</v>
      </c>
      <c r="D42" s="9" t="s">
        <v>12</v>
      </c>
      <c r="E42" s="9">
        <v>57</v>
      </c>
      <c r="F42" s="9">
        <v>64</v>
      </c>
      <c r="G42" s="9">
        <v>61</v>
      </c>
      <c r="H42" s="9">
        <v>68</v>
      </c>
      <c r="I42" s="11">
        <v>0.78</v>
      </c>
      <c r="J42" s="9">
        <f t="shared" si="0"/>
        <v>250</v>
      </c>
      <c r="K42" s="11">
        <f t="shared" si="1"/>
        <v>0.625</v>
      </c>
      <c r="L42" s="9" t="str">
        <f t="shared" si="2"/>
        <v>PASS</v>
      </c>
      <c r="M42" s="9" t="str">
        <f t="shared" si="3"/>
        <v>ELIGIBLE</v>
      </c>
      <c r="N42" s="9" t="str" cm="1">
        <f t="array" ref="N42">_xlfn.IFS(I42&gt;=95%,"EXCELLENT",I42&gt;=85%,"VERY GOOD",I42&gt;=75%,"GOOD",I42&gt;=65%,"IMPROVEMENT",I42&gt;=40%,"POOR",I42&gt;=0%,"WORST")</f>
        <v>GOOD</v>
      </c>
      <c r="P42" t="str">
        <v>S001</v>
      </c>
      <c r="Q42" t="str">
        <v>Aarav Sharma</v>
      </c>
      <c r="R42" t="str">
        <v>10A</v>
      </c>
      <c r="S42" t="str">
        <v>Male</v>
      </c>
      <c r="T42">
        <v>78</v>
      </c>
      <c r="U42">
        <v>85</v>
      </c>
      <c r="V42">
        <v>72</v>
      </c>
      <c r="W42">
        <v>90</v>
      </c>
      <c r="X42">
        <v>0.92</v>
      </c>
      <c r="Y42">
        <v>325</v>
      </c>
      <c r="Z42">
        <v>0.8125</v>
      </c>
      <c r="AA42" t="str">
        <v>PASS</v>
      </c>
      <c r="AB42" t="str">
        <v>ELIGIBLE</v>
      </c>
      <c r="AC42" t="str">
        <v>VERY GOOD</v>
      </c>
    </row>
    <row r="43" spans="1:29" ht="20.25" customHeight="1">
      <c r="A43" s="9" t="s">
        <v>96</v>
      </c>
      <c r="B43" s="9" t="s">
        <v>97</v>
      </c>
      <c r="C43" s="9" t="s">
        <v>11</v>
      </c>
      <c r="D43" s="9" t="s">
        <v>15</v>
      </c>
      <c r="E43" s="9">
        <v>83</v>
      </c>
      <c r="F43" s="9">
        <v>80</v>
      </c>
      <c r="G43" s="9">
        <v>86</v>
      </c>
      <c r="H43" s="9">
        <v>88</v>
      </c>
      <c r="I43" s="11">
        <v>0.92</v>
      </c>
      <c r="J43" s="9">
        <f t="shared" si="0"/>
        <v>337</v>
      </c>
      <c r="K43" s="11">
        <f t="shared" si="1"/>
        <v>0.84250000000000003</v>
      </c>
      <c r="L43" s="9" t="str">
        <f t="shared" si="2"/>
        <v>PASS</v>
      </c>
      <c r="M43" s="9" t="str">
        <f t="shared" si="3"/>
        <v>ELIGIBLE</v>
      </c>
      <c r="N43" s="9" t="str" cm="1">
        <f t="array" ref="N43">_xlfn.IFS(I43&gt;=95%,"EXCELLENT",I43&gt;=85%,"VERY GOOD",I43&gt;=75%,"GOOD",I43&gt;=65%,"IMPROVEMENT",I43&gt;=40%,"POOR",I43&gt;=0%,"WORST")</f>
        <v>VERY GOOD</v>
      </c>
      <c r="P43" t="str">
        <v>S024</v>
      </c>
      <c r="Q43" t="str">
        <v>Nisha Agarwal</v>
      </c>
      <c r="R43" t="str">
        <v>10A</v>
      </c>
      <c r="S43" t="str">
        <v>Female</v>
      </c>
      <c r="T43">
        <v>77</v>
      </c>
      <c r="U43">
        <v>83</v>
      </c>
      <c r="V43">
        <v>80</v>
      </c>
      <c r="W43">
        <v>85</v>
      </c>
      <c r="X43">
        <v>0.94</v>
      </c>
      <c r="Y43">
        <v>325</v>
      </c>
      <c r="Z43">
        <v>0.8125</v>
      </c>
      <c r="AA43" t="str">
        <v>PASS</v>
      </c>
      <c r="AB43" t="str">
        <v>ELIGIBLE</v>
      </c>
      <c r="AC43" t="str">
        <v>VERY GOOD</v>
      </c>
    </row>
    <row r="44" spans="1:29" ht="20.25" customHeight="1">
      <c r="A44" s="9" t="s">
        <v>98</v>
      </c>
      <c r="B44" s="9" t="s">
        <v>99</v>
      </c>
      <c r="C44" s="9" t="s">
        <v>21</v>
      </c>
      <c r="D44" s="9" t="s">
        <v>12</v>
      </c>
      <c r="E44" s="9">
        <v>46</v>
      </c>
      <c r="F44" s="9">
        <v>53</v>
      </c>
      <c r="G44" s="9">
        <v>49</v>
      </c>
      <c r="H44" s="9">
        <v>57</v>
      </c>
      <c r="I44" s="11">
        <v>0.7</v>
      </c>
      <c r="J44" s="9">
        <f t="shared" si="0"/>
        <v>205</v>
      </c>
      <c r="K44" s="11">
        <f t="shared" si="1"/>
        <v>0.51249999999999996</v>
      </c>
      <c r="L44" s="9" t="str">
        <f t="shared" si="2"/>
        <v>PASS</v>
      </c>
      <c r="M44" s="9" t="str">
        <f t="shared" si="3"/>
        <v>NOT ELIGIBLE</v>
      </c>
      <c r="N44" s="9" t="str" cm="1">
        <f t="array" ref="N44">_xlfn.IFS(I44&gt;=95%,"EXCELLENT",I44&gt;=85%,"VERY GOOD",I44&gt;=75%,"GOOD",I44&gt;=65%,"IMPROVEMENT",I44&gt;=40%,"POOR",I44&gt;=0%,"WORST")</f>
        <v>IMPROVEMENT</v>
      </c>
      <c r="P44" t="str">
        <v>S031</v>
      </c>
      <c r="Q44" t="str">
        <v>Reyansh Patel</v>
      </c>
      <c r="R44" t="str">
        <v>10C</v>
      </c>
      <c r="S44" t="str">
        <v>Male</v>
      </c>
      <c r="T44">
        <v>79</v>
      </c>
      <c r="U44">
        <v>82</v>
      </c>
      <c r="V44">
        <v>77</v>
      </c>
      <c r="W44">
        <v>84</v>
      </c>
      <c r="X44">
        <v>0.91</v>
      </c>
      <c r="Y44">
        <v>322</v>
      </c>
      <c r="Z44">
        <v>0.80500000000000005</v>
      </c>
      <c r="AA44" t="str">
        <v>PASS</v>
      </c>
      <c r="AB44" t="str">
        <v>ELIGIBLE</v>
      </c>
      <c r="AC44" t="str">
        <v>VERY GOOD</v>
      </c>
    </row>
    <row r="45" spans="1:29" ht="20.25" customHeight="1">
      <c r="A45" s="9" t="s">
        <v>100</v>
      </c>
      <c r="B45" s="9" t="s">
        <v>101</v>
      </c>
      <c r="C45" s="9" t="s">
        <v>18</v>
      </c>
      <c r="D45" s="9" t="s">
        <v>15</v>
      </c>
      <c r="E45" s="9">
        <v>75</v>
      </c>
      <c r="F45" s="9">
        <v>71</v>
      </c>
      <c r="G45" s="9">
        <v>79</v>
      </c>
      <c r="H45" s="9">
        <v>83</v>
      </c>
      <c r="I45" s="11">
        <v>0.88</v>
      </c>
      <c r="J45" s="9">
        <f t="shared" si="0"/>
        <v>308</v>
      </c>
      <c r="K45" s="11">
        <f t="shared" si="1"/>
        <v>0.77</v>
      </c>
      <c r="L45" s="9" t="str">
        <f t="shared" si="2"/>
        <v>PASS</v>
      </c>
      <c r="M45" s="9" t="str">
        <f t="shared" si="3"/>
        <v>ELIGIBLE</v>
      </c>
      <c r="N45" s="9" t="str" cm="1">
        <f t="array" ref="N45">_xlfn.IFS(I45&gt;=95%,"EXCELLENT",I45&gt;=85%,"VERY GOOD",I45&gt;=75%,"GOOD",I45&gt;=65%,"IMPROVEMENT",I45&gt;=40%,"POOR",I45&gt;=0%,"WORST")</f>
        <v>VERY GOOD</v>
      </c>
      <c r="P45" t="str">
        <v>S096</v>
      </c>
      <c r="Q45" t="str">
        <v>Aadhya Rao</v>
      </c>
      <c r="R45" t="str">
        <v>10A</v>
      </c>
      <c r="S45" t="str">
        <v>Female</v>
      </c>
      <c r="T45">
        <v>76</v>
      </c>
      <c r="U45">
        <v>83</v>
      </c>
      <c r="V45">
        <v>78</v>
      </c>
      <c r="W45">
        <v>85</v>
      </c>
      <c r="X45">
        <v>0.91</v>
      </c>
      <c r="Y45">
        <v>322</v>
      </c>
      <c r="Z45">
        <v>0.80500000000000005</v>
      </c>
      <c r="AA45" t="str">
        <v>PASS</v>
      </c>
      <c r="AB45" t="str">
        <v>ELIGIBLE</v>
      </c>
      <c r="AC45" t="str">
        <v>VERY GOOD</v>
      </c>
    </row>
    <row r="46" spans="1:29" ht="20.25" customHeight="1">
      <c r="A46" s="9" t="s">
        <v>102</v>
      </c>
      <c r="B46" s="9" t="s">
        <v>103</v>
      </c>
      <c r="C46" s="9" t="s">
        <v>11</v>
      </c>
      <c r="D46" s="9" t="s">
        <v>12</v>
      </c>
      <c r="E46" s="9">
        <v>87</v>
      </c>
      <c r="F46" s="9">
        <v>90</v>
      </c>
      <c r="G46" s="9">
        <v>84</v>
      </c>
      <c r="H46" s="9">
        <v>91</v>
      </c>
      <c r="I46" s="11">
        <v>0.95</v>
      </c>
      <c r="J46" s="9">
        <f t="shared" si="0"/>
        <v>352</v>
      </c>
      <c r="K46" s="11">
        <f t="shared" si="1"/>
        <v>0.88</v>
      </c>
      <c r="L46" s="9" t="str">
        <f t="shared" si="2"/>
        <v>PASS</v>
      </c>
      <c r="M46" s="9" t="str">
        <f t="shared" si="3"/>
        <v>ELIGIBLE</v>
      </c>
      <c r="N46" s="9" t="str" cm="1">
        <f t="array" ref="N46">_xlfn.IFS(I46&gt;=95%,"EXCELLENT",I46&gt;=85%,"VERY GOOD",I46&gt;=75%,"GOOD",I46&gt;=65%,"IMPROVEMENT",I46&gt;=40%,"POOR",I46&gt;=0%,"WORST")</f>
        <v>EXCELLENT</v>
      </c>
      <c r="P46" t="str">
        <v>S060</v>
      </c>
      <c r="Q46" t="str">
        <v>Ritika Sharma</v>
      </c>
      <c r="R46" t="str">
        <v>10A</v>
      </c>
      <c r="S46" t="str">
        <v>Female</v>
      </c>
      <c r="T46">
        <v>76</v>
      </c>
      <c r="U46">
        <v>82</v>
      </c>
      <c r="V46">
        <v>79</v>
      </c>
      <c r="W46">
        <v>84</v>
      </c>
      <c r="X46">
        <v>0.91</v>
      </c>
      <c r="Y46">
        <v>321</v>
      </c>
      <c r="Z46">
        <v>0.80249999999999999</v>
      </c>
      <c r="AA46" t="str">
        <v>PASS</v>
      </c>
      <c r="AB46" t="str">
        <v>ELIGIBLE</v>
      </c>
      <c r="AC46" t="str">
        <v>VERY GOOD</v>
      </c>
    </row>
    <row r="47" spans="1:29" ht="20.25" customHeight="1">
      <c r="A47" s="9" t="s">
        <v>104</v>
      </c>
      <c r="B47" s="9" t="s">
        <v>105</v>
      </c>
      <c r="C47" s="9" t="s">
        <v>21</v>
      </c>
      <c r="D47" s="9" t="s">
        <v>15</v>
      </c>
      <c r="E47" s="9">
        <v>69</v>
      </c>
      <c r="F47" s="9">
        <v>76</v>
      </c>
      <c r="G47" s="9">
        <v>72</v>
      </c>
      <c r="H47" s="9">
        <v>78</v>
      </c>
      <c r="I47" s="11">
        <v>0.86</v>
      </c>
      <c r="J47" s="9">
        <f t="shared" si="0"/>
        <v>295</v>
      </c>
      <c r="K47" s="11">
        <f t="shared" si="1"/>
        <v>0.73750000000000004</v>
      </c>
      <c r="L47" s="9" t="str">
        <f t="shared" si="2"/>
        <v>PASS</v>
      </c>
      <c r="M47" s="9" t="str">
        <f t="shared" si="3"/>
        <v>ELIGIBLE</v>
      </c>
      <c r="N47" s="9" t="str" cm="1">
        <f t="array" ref="N47">_xlfn.IFS(I47&gt;=95%,"EXCELLENT",I47&gt;=85%,"VERY GOOD",I47&gt;=75%,"GOOD",I47&gt;=65%,"IMPROVEMENT",I47&gt;=40%,"POOR",I47&gt;=0%,"WORST")</f>
        <v>VERY GOOD</v>
      </c>
      <c r="P47" t="str">
        <v>S050</v>
      </c>
      <c r="Q47" t="str">
        <v>Kavya Nair</v>
      </c>
      <c r="R47" t="str">
        <v>10B</v>
      </c>
      <c r="S47" t="str">
        <v>Female</v>
      </c>
      <c r="T47">
        <v>78</v>
      </c>
      <c r="U47">
        <v>74</v>
      </c>
      <c r="V47">
        <v>82</v>
      </c>
      <c r="W47">
        <v>85</v>
      </c>
      <c r="X47">
        <v>0.9</v>
      </c>
      <c r="Y47">
        <v>319</v>
      </c>
      <c r="Z47">
        <v>0.79749999999999999</v>
      </c>
      <c r="AA47" t="str">
        <v>PASS</v>
      </c>
      <c r="AB47" t="str">
        <v>ELIGIBLE</v>
      </c>
      <c r="AC47" t="str">
        <v>VERY GOOD</v>
      </c>
    </row>
    <row r="48" spans="1:29" ht="20.25" customHeight="1">
      <c r="A48" s="9" t="s">
        <v>106</v>
      </c>
      <c r="B48" s="9" t="s">
        <v>107</v>
      </c>
      <c r="C48" s="9" t="s">
        <v>18</v>
      </c>
      <c r="D48" s="9" t="s">
        <v>12</v>
      </c>
      <c r="E48" s="9">
        <v>32</v>
      </c>
      <c r="F48" s="9">
        <v>39</v>
      </c>
      <c r="G48" s="9">
        <v>44</v>
      </c>
      <c r="H48" s="9">
        <v>47</v>
      </c>
      <c r="I48" s="11">
        <v>0.64</v>
      </c>
      <c r="J48" s="9">
        <f t="shared" si="0"/>
        <v>162</v>
      </c>
      <c r="K48" s="11">
        <f t="shared" si="1"/>
        <v>0.40500000000000003</v>
      </c>
      <c r="L48" s="9" t="str">
        <f t="shared" si="2"/>
        <v>FAIL</v>
      </c>
      <c r="M48" s="9" t="str">
        <f t="shared" si="3"/>
        <v>NOT ELIGIBLE</v>
      </c>
      <c r="N48" s="9" t="str" cm="1">
        <f t="array" ref="N48">_xlfn.IFS(I48&gt;=95%,"EXCELLENT",I48&gt;=85%,"VERY GOOD",I48&gt;=75%,"GOOD",I48&gt;=65%,"IMPROVEMENT",I48&gt;=40%,"POOR",I48&gt;=0%,"WORST")</f>
        <v>POOR</v>
      </c>
      <c r="P48" t="str">
        <v>S076</v>
      </c>
      <c r="Q48" t="str">
        <v>Ishaan Verma</v>
      </c>
      <c r="R48" t="str">
        <v>10C</v>
      </c>
      <c r="S48" t="str">
        <v>Male</v>
      </c>
      <c r="T48">
        <v>77</v>
      </c>
      <c r="U48">
        <v>81</v>
      </c>
      <c r="V48">
        <v>75</v>
      </c>
      <c r="W48">
        <v>84</v>
      </c>
      <c r="X48">
        <v>0.9</v>
      </c>
      <c r="Y48">
        <v>317</v>
      </c>
      <c r="Z48">
        <v>0.79249999999999998</v>
      </c>
      <c r="AA48" t="str">
        <v>PASS</v>
      </c>
      <c r="AB48" t="str">
        <v>ELIGIBLE</v>
      </c>
      <c r="AC48" t="str">
        <v>VERY GOOD</v>
      </c>
    </row>
    <row r="49" spans="1:29" ht="20.25" customHeight="1">
      <c r="A49" s="9" t="s">
        <v>108</v>
      </c>
      <c r="B49" s="9" t="s">
        <v>109</v>
      </c>
      <c r="C49" s="9" t="s">
        <v>11</v>
      </c>
      <c r="D49" s="9" t="s">
        <v>15</v>
      </c>
      <c r="E49" s="9">
        <v>94</v>
      </c>
      <c r="F49" s="9">
        <v>96</v>
      </c>
      <c r="G49" s="9">
        <v>91</v>
      </c>
      <c r="H49" s="9">
        <v>93</v>
      </c>
      <c r="I49" s="11">
        <v>0.99</v>
      </c>
      <c r="J49" s="9">
        <f t="shared" si="0"/>
        <v>374</v>
      </c>
      <c r="K49" s="11">
        <f t="shared" si="1"/>
        <v>0.93500000000000005</v>
      </c>
      <c r="L49" s="9" t="str">
        <f t="shared" si="2"/>
        <v>PASS</v>
      </c>
      <c r="M49" s="9" t="str">
        <f t="shared" si="3"/>
        <v>ELIGIBLE</v>
      </c>
      <c r="N49" s="9" t="str" cm="1">
        <f t="array" ref="N49">_xlfn.IFS(I49&gt;=95%,"EXCELLENT",I49&gt;=85%,"VERY GOOD",I49&gt;=75%,"GOOD",I49&gt;=65%,"IMPROVEMENT",I49&gt;=40%,"POOR",I49&gt;=0%,"WORST")</f>
        <v>EXCELLENT</v>
      </c>
      <c r="P49" t="str">
        <v>S034</v>
      </c>
      <c r="Q49" t="str">
        <v>Shreya Nair</v>
      </c>
      <c r="R49" t="str">
        <v>10C</v>
      </c>
      <c r="S49" t="str">
        <v>Female</v>
      </c>
      <c r="T49">
        <v>74</v>
      </c>
      <c r="U49">
        <v>79</v>
      </c>
      <c r="V49">
        <v>76</v>
      </c>
      <c r="W49">
        <v>81</v>
      </c>
      <c r="X49">
        <v>0.89</v>
      </c>
      <c r="Y49">
        <v>310</v>
      </c>
      <c r="Z49">
        <v>0.77500000000000002</v>
      </c>
      <c r="AA49" t="str">
        <v>PASS</v>
      </c>
      <c r="AB49" t="str">
        <v>ELIGIBLE</v>
      </c>
      <c r="AC49" t="str">
        <v>VERY GOOD</v>
      </c>
    </row>
    <row r="50" spans="1:29" ht="20.25" customHeight="1">
      <c r="A50" s="9" t="s">
        <v>110</v>
      </c>
      <c r="B50" s="9" t="s">
        <v>111</v>
      </c>
      <c r="C50" s="9" t="s">
        <v>21</v>
      </c>
      <c r="D50" s="9" t="s">
        <v>12</v>
      </c>
      <c r="E50" s="9">
        <v>62</v>
      </c>
      <c r="F50" s="9">
        <v>68</v>
      </c>
      <c r="G50" s="9">
        <v>65</v>
      </c>
      <c r="H50" s="9">
        <v>73</v>
      </c>
      <c r="I50" s="11">
        <v>0.81</v>
      </c>
      <c r="J50" s="9">
        <f t="shared" si="0"/>
        <v>268</v>
      </c>
      <c r="K50" s="11">
        <f t="shared" si="1"/>
        <v>0.67</v>
      </c>
      <c r="L50" s="9" t="str">
        <f t="shared" si="2"/>
        <v>PASS</v>
      </c>
      <c r="M50" s="9" t="str">
        <f t="shared" si="3"/>
        <v>ELIGIBLE</v>
      </c>
      <c r="N50" s="9" t="str" cm="1">
        <f t="array" ref="N50">_xlfn.IFS(I50&gt;=95%,"EXCELLENT",I50&gt;=85%,"VERY GOOD",I50&gt;=75%,"GOOD",I50&gt;=65%,"IMPROVEMENT",I50&gt;=40%,"POOR",I50&gt;=0%,"WORST")</f>
        <v>GOOD</v>
      </c>
      <c r="P50" t="str">
        <v>S014</v>
      </c>
      <c r="Q50" t="str">
        <v>Anika Iyer</v>
      </c>
      <c r="R50" t="str">
        <v>10B</v>
      </c>
      <c r="S50" t="str">
        <v>Female</v>
      </c>
      <c r="T50">
        <v>76</v>
      </c>
      <c r="U50">
        <v>81</v>
      </c>
      <c r="V50">
        <v>73</v>
      </c>
      <c r="W50">
        <v>79</v>
      </c>
      <c r="X50">
        <v>0.9</v>
      </c>
      <c r="Y50">
        <v>309</v>
      </c>
      <c r="Z50">
        <v>0.77249999999999996</v>
      </c>
      <c r="AA50" t="str">
        <v>PASS</v>
      </c>
      <c r="AB50" t="str">
        <v>ELIGIBLE</v>
      </c>
      <c r="AC50" t="str">
        <v>VERY GOOD</v>
      </c>
    </row>
    <row r="51" spans="1:29" ht="20.25" customHeight="1">
      <c r="A51" s="9" t="s">
        <v>112</v>
      </c>
      <c r="B51" s="9" t="s">
        <v>113</v>
      </c>
      <c r="C51" s="9" t="s">
        <v>18</v>
      </c>
      <c r="D51" s="9" t="s">
        <v>15</v>
      </c>
      <c r="E51" s="9">
        <v>78</v>
      </c>
      <c r="F51" s="9">
        <v>74</v>
      </c>
      <c r="G51" s="9">
        <v>82</v>
      </c>
      <c r="H51" s="9">
        <v>85</v>
      </c>
      <c r="I51" s="11">
        <v>0.9</v>
      </c>
      <c r="J51" s="9">
        <f t="shared" si="0"/>
        <v>319</v>
      </c>
      <c r="K51" s="11">
        <f t="shared" si="1"/>
        <v>0.79749999999999999</v>
      </c>
      <c r="L51" s="9" t="str">
        <f t="shared" si="2"/>
        <v>PASS</v>
      </c>
      <c r="M51" s="9" t="str">
        <f t="shared" si="3"/>
        <v>ELIGIBLE</v>
      </c>
      <c r="N51" s="9" t="str" cm="1">
        <f t="array" ref="N51">_xlfn.IFS(I51&gt;=95%,"EXCELLENT",I51&gt;=85%,"VERY GOOD",I51&gt;=75%,"GOOD",I51&gt;=65%,"IMPROVEMENT",I51&gt;=40%,"POOR",I51&gt;=0%,"WORST")</f>
        <v>VERY GOOD</v>
      </c>
      <c r="P51" t="str">
        <v>S044</v>
      </c>
      <c r="Q51" t="str">
        <v>Tanvi Mehta</v>
      </c>
      <c r="R51" t="str">
        <v>10B</v>
      </c>
      <c r="S51" t="str">
        <v>Female</v>
      </c>
      <c r="T51">
        <v>75</v>
      </c>
      <c r="U51">
        <v>71</v>
      </c>
      <c r="V51">
        <v>79</v>
      </c>
      <c r="W51">
        <v>83</v>
      </c>
      <c r="X51">
        <v>0.88</v>
      </c>
      <c r="Y51">
        <v>308</v>
      </c>
      <c r="Z51">
        <v>0.77</v>
      </c>
      <c r="AA51" t="str">
        <v>PASS</v>
      </c>
      <c r="AB51" t="str">
        <v>ELIGIBLE</v>
      </c>
      <c r="AC51" t="str">
        <v>VERY GOOD</v>
      </c>
    </row>
    <row r="52" spans="1:29" ht="20.25" customHeight="1">
      <c r="A52" s="9" t="s">
        <v>114</v>
      </c>
      <c r="B52" s="9" t="s">
        <v>115</v>
      </c>
      <c r="C52" s="9" t="s">
        <v>11</v>
      </c>
      <c r="D52" s="9" t="s">
        <v>12</v>
      </c>
      <c r="E52" s="9">
        <v>84</v>
      </c>
      <c r="F52" s="9">
        <v>89</v>
      </c>
      <c r="G52" s="9">
        <v>81</v>
      </c>
      <c r="H52" s="9">
        <v>86</v>
      </c>
      <c r="I52" s="11">
        <v>0.94</v>
      </c>
      <c r="J52" s="9">
        <f t="shared" si="0"/>
        <v>340</v>
      </c>
      <c r="K52" s="11">
        <f t="shared" si="1"/>
        <v>0.85</v>
      </c>
      <c r="L52" s="9" t="str">
        <f t="shared" si="2"/>
        <v>PASS</v>
      </c>
      <c r="M52" s="9" t="str">
        <f t="shared" si="3"/>
        <v>ELIGIBLE</v>
      </c>
      <c r="N52" s="9" t="str" cm="1">
        <f t="array" ref="N52">_xlfn.IFS(I52&gt;=95%,"EXCELLENT",I52&gt;=85%,"VERY GOOD",I52&gt;=75%,"GOOD",I52&gt;=65%,"IMPROVEMENT",I52&gt;=40%,"POOR",I52&gt;=0%,"WORST")</f>
        <v>VERY GOOD</v>
      </c>
      <c r="P52" t="str">
        <v>S073</v>
      </c>
      <c r="Q52" t="str">
        <v>Atharv Joshi</v>
      </c>
      <c r="R52" t="str">
        <v>10C</v>
      </c>
      <c r="S52" t="str">
        <v>Male</v>
      </c>
      <c r="T52">
        <v>74</v>
      </c>
      <c r="U52">
        <v>69</v>
      </c>
      <c r="V52">
        <v>77</v>
      </c>
      <c r="W52">
        <v>82</v>
      </c>
      <c r="X52">
        <v>0.89</v>
      </c>
      <c r="Y52">
        <v>302</v>
      </c>
      <c r="Z52">
        <v>0.755</v>
      </c>
      <c r="AA52" t="str">
        <v>PASS</v>
      </c>
      <c r="AB52" t="str">
        <v>ELIGIBLE</v>
      </c>
      <c r="AC52" t="str">
        <v>VERY GOOD</v>
      </c>
    </row>
    <row r="53" spans="1:29" ht="20.25" customHeight="1">
      <c r="A53" s="9" t="s">
        <v>116</v>
      </c>
      <c r="B53" s="9" t="s">
        <v>117</v>
      </c>
      <c r="C53" s="9" t="s">
        <v>21</v>
      </c>
      <c r="D53" s="9" t="s">
        <v>15</v>
      </c>
      <c r="E53" s="9">
        <v>59</v>
      </c>
      <c r="F53" s="9">
        <v>63</v>
      </c>
      <c r="G53" s="9">
        <v>58</v>
      </c>
      <c r="H53" s="9">
        <v>66</v>
      </c>
      <c r="I53" s="11">
        <v>0.77</v>
      </c>
      <c r="J53" s="9">
        <f t="shared" si="0"/>
        <v>246</v>
      </c>
      <c r="K53" s="11">
        <f t="shared" si="1"/>
        <v>0.61499999999999999</v>
      </c>
      <c r="L53" s="9" t="str">
        <f t="shared" si="2"/>
        <v>PASS</v>
      </c>
      <c r="M53" s="9" t="str">
        <f t="shared" si="3"/>
        <v>ELIGIBLE</v>
      </c>
      <c r="N53" s="9" t="str" cm="1">
        <f t="array" ref="N53">_xlfn.IFS(I53&gt;=95%,"EXCELLENT",I53&gt;=85%,"VERY GOOD",I53&gt;=75%,"GOOD",I53&gt;=65%,"IMPROVEMENT",I53&gt;=40%,"POOR",I53&gt;=0%,"WORST")</f>
        <v>GOOD</v>
      </c>
      <c r="P53" t="str">
        <v>S085</v>
      </c>
      <c r="Q53" t="str">
        <v>Hriday Singh</v>
      </c>
      <c r="R53" t="str">
        <v>10C</v>
      </c>
      <c r="S53" t="str">
        <v>Male</v>
      </c>
      <c r="T53">
        <v>72</v>
      </c>
      <c r="U53">
        <v>77</v>
      </c>
      <c r="V53">
        <v>70</v>
      </c>
      <c r="W53">
        <v>81</v>
      </c>
      <c r="X53">
        <v>0.88</v>
      </c>
      <c r="Y53">
        <v>300</v>
      </c>
      <c r="Z53">
        <v>0.75</v>
      </c>
      <c r="AA53" t="str">
        <v>PASS</v>
      </c>
      <c r="AB53" t="str">
        <v>ELIGIBLE</v>
      </c>
      <c r="AC53" t="str">
        <v>VERY GOOD</v>
      </c>
    </row>
    <row r="54" spans="1:29" ht="20.25" customHeight="1">
      <c r="A54" s="9" t="s">
        <v>118</v>
      </c>
      <c r="B54" s="9" t="s">
        <v>119</v>
      </c>
      <c r="C54" s="9" t="s">
        <v>18</v>
      </c>
      <c r="D54" s="9" t="s">
        <v>12</v>
      </c>
      <c r="E54" s="9">
        <v>73</v>
      </c>
      <c r="F54" s="9">
        <v>70</v>
      </c>
      <c r="G54" s="9">
        <v>75</v>
      </c>
      <c r="H54" s="9">
        <v>79</v>
      </c>
      <c r="I54" s="11">
        <v>0.87</v>
      </c>
      <c r="J54" s="9">
        <f t="shared" si="0"/>
        <v>297</v>
      </c>
      <c r="K54" s="11">
        <f t="shared" si="1"/>
        <v>0.74250000000000005</v>
      </c>
      <c r="L54" s="9" t="str">
        <f t="shared" si="2"/>
        <v>PASS</v>
      </c>
      <c r="M54" s="9" t="str">
        <f t="shared" si="3"/>
        <v>ELIGIBLE</v>
      </c>
      <c r="N54" s="9" t="str" cm="1">
        <f t="array" ref="N54">_xlfn.IFS(I54&gt;=95%,"EXCELLENT",I54&gt;=85%,"VERY GOOD",I54&gt;=75%,"GOOD",I54&gt;=65%,"IMPROVEMENT",I54&gt;=40%,"POOR",I54&gt;=0%,"WORST")</f>
        <v>VERY GOOD</v>
      </c>
      <c r="P54" t="str">
        <v>S008</v>
      </c>
      <c r="Q54" t="str">
        <v>Isha Desai</v>
      </c>
      <c r="R54" t="str">
        <v>10B</v>
      </c>
      <c r="S54" t="str">
        <v>Female</v>
      </c>
      <c r="T54">
        <v>73</v>
      </c>
      <c r="U54">
        <v>68</v>
      </c>
      <c r="V54">
        <v>76</v>
      </c>
      <c r="W54">
        <v>82</v>
      </c>
      <c r="X54">
        <v>0.89</v>
      </c>
      <c r="Y54">
        <v>299</v>
      </c>
      <c r="Z54">
        <v>0.74750000000000005</v>
      </c>
      <c r="AA54" t="str">
        <v>PASS</v>
      </c>
      <c r="AB54" t="str">
        <v>ELIGIBLE</v>
      </c>
      <c r="AC54" t="str">
        <v>VERY GOOD</v>
      </c>
    </row>
    <row r="55" spans="1:29" ht="20.25" customHeight="1">
      <c r="A55" s="9" t="s">
        <v>120</v>
      </c>
      <c r="B55" s="9" t="s">
        <v>121</v>
      </c>
      <c r="C55" s="9" t="s">
        <v>11</v>
      </c>
      <c r="D55" s="9" t="s">
        <v>15</v>
      </c>
      <c r="E55" s="9">
        <v>91</v>
      </c>
      <c r="F55" s="9">
        <v>94</v>
      </c>
      <c r="G55" s="9">
        <v>89</v>
      </c>
      <c r="H55" s="9">
        <v>96</v>
      </c>
      <c r="I55" s="11">
        <v>0.98</v>
      </c>
      <c r="J55" s="9">
        <f t="shared" si="0"/>
        <v>370</v>
      </c>
      <c r="K55" s="11">
        <f t="shared" si="1"/>
        <v>0.92500000000000004</v>
      </c>
      <c r="L55" s="9" t="str">
        <f t="shared" si="2"/>
        <v>PASS</v>
      </c>
      <c r="M55" s="9" t="str">
        <f t="shared" si="3"/>
        <v>ELIGIBLE</v>
      </c>
      <c r="N55" s="9" t="str" cm="1">
        <f t="array" ref="N55">_xlfn.IFS(I55&gt;=95%,"EXCELLENT",I55&gt;=85%,"VERY GOOD",I55&gt;=75%,"GOOD",I55&gt;=65%,"IMPROVEMENT",I55&gt;=40%,"POOR",I55&gt;=0%,"WORST")</f>
        <v>EXCELLENT</v>
      </c>
      <c r="P55" t="str">
        <v>S078</v>
      </c>
      <c r="Q55" t="str">
        <v>Devanshi Shah</v>
      </c>
      <c r="R55" t="str">
        <v>10A</v>
      </c>
      <c r="S55" t="str">
        <v>Female</v>
      </c>
      <c r="T55">
        <v>70</v>
      </c>
      <c r="U55">
        <v>76</v>
      </c>
      <c r="V55">
        <v>73</v>
      </c>
      <c r="W55">
        <v>79</v>
      </c>
      <c r="X55">
        <v>0.86</v>
      </c>
      <c r="Y55">
        <v>298</v>
      </c>
      <c r="Z55">
        <v>0.745</v>
      </c>
      <c r="AA55" t="str">
        <v>PASS</v>
      </c>
      <c r="AB55" t="str">
        <v>ELIGIBLE</v>
      </c>
      <c r="AC55" t="str">
        <v>VERY GOOD</v>
      </c>
    </row>
    <row r="56" spans="1:29" ht="20.25" customHeight="1">
      <c r="A56" s="9" t="s">
        <v>122</v>
      </c>
      <c r="B56" s="9" t="s">
        <v>123</v>
      </c>
      <c r="C56" s="9" t="s">
        <v>21</v>
      </c>
      <c r="D56" s="9" t="s">
        <v>12</v>
      </c>
      <c r="E56" s="9">
        <v>48</v>
      </c>
      <c r="F56" s="9">
        <v>55</v>
      </c>
      <c r="G56" s="9">
        <v>51</v>
      </c>
      <c r="H56" s="9">
        <v>59</v>
      </c>
      <c r="I56" s="11">
        <v>0.74</v>
      </c>
      <c r="J56" s="9">
        <f t="shared" si="0"/>
        <v>213</v>
      </c>
      <c r="K56" s="11">
        <f t="shared" si="1"/>
        <v>0.53249999999999997</v>
      </c>
      <c r="L56" s="9" t="str">
        <f t="shared" si="2"/>
        <v>PASS</v>
      </c>
      <c r="M56" s="9" t="str">
        <f t="shared" si="3"/>
        <v>NOT ELIGIBLE</v>
      </c>
      <c r="N56" s="9" t="str" cm="1">
        <f t="array" ref="N56">_xlfn.IFS(I56&gt;=95%,"EXCELLENT",I56&gt;=85%,"VERY GOOD",I56&gt;=75%,"GOOD",I56&gt;=65%,"IMPROVEMENT",I56&gt;=40%,"POOR",I56&gt;=0%,"WORST")</f>
        <v>IMPROVEMENT</v>
      </c>
      <c r="P56" t="str">
        <v>S053</v>
      </c>
      <c r="Q56" t="str">
        <v>Raghav Joshi</v>
      </c>
      <c r="R56" t="str">
        <v>10B</v>
      </c>
      <c r="S56" t="str">
        <v>Male</v>
      </c>
      <c r="T56">
        <v>73</v>
      </c>
      <c r="U56">
        <v>70</v>
      </c>
      <c r="V56">
        <v>75</v>
      </c>
      <c r="W56">
        <v>79</v>
      </c>
      <c r="X56">
        <v>0.87</v>
      </c>
      <c r="Y56">
        <v>297</v>
      </c>
      <c r="Z56">
        <v>0.74250000000000005</v>
      </c>
      <c r="AA56" t="str">
        <v>PASS</v>
      </c>
      <c r="AB56" t="str">
        <v>ELIGIBLE</v>
      </c>
      <c r="AC56" t="str">
        <v>VERY GOOD</v>
      </c>
    </row>
    <row r="57" spans="1:29" ht="20.25" customHeight="1">
      <c r="A57" s="9" t="s">
        <v>124</v>
      </c>
      <c r="B57" s="9" t="s">
        <v>125</v>
      </c>
      <c r="C57" s="9" t="s">
        <v>18</v>
      </c>
      <c r="D57" s="9" t="s">
        <v>15</v>
      </c>
      <c r="E57" s="9">
        <v>82</v>
      </c>
      <c r="F57" s="9">
        <v>78</v>
      </c>
      <c r="G57" s="9">
        <v>85</v>
      </c>
      <c r="H57" s="9">
        <v>90</v>
      </c>
      <c r="I57" s="11">
        <v>0.93</v>
      </c>
      <c r="J57" s="9">
        <f t="shared" si="0"/>
        <v>335</v>
      </c>
      <c r="K57" s="11">
        <f t="shared" si="1"/>
        <v>0.83750000000000002</v>
      </c>
      <c r="L57" s="9" t="str">
        <f t="shared" si="2"/>
        <v>PASS</v>
      </c>
      <c r="M57" s="9" t="str">
        <f t="shared" si="3"/>
        <v>ELIGIBLE</v>
      </c>
      <c r="N57" s="9" t="str" cm="1">
        <f t="array" ref="N57">_xlfn.IFS(I57&gt;=95%,"EXCELLENT",I57&gt;=85%,"VERY GOOD",I57&gt;=75%,"GOOD",I57&gt;=65%,"IMPROVEMENT",I57&gt;=40%,"POOR",I57&gt;=0%,"WORST")</f>
        <v>VERY GOOD</v>
      </c>
      <c r="P57" t="str">
        <v>S020</v>
      </c>
      <c r="Q57" t="str">
        <v>Tara Menon</v>
      </c>
      <c r="R57" t="str">
        <v>10B</v>
      </c>
      <c r="S57" t="str">
        <v>Female</v>
      </c>
      <c r="T57">
        <v>72</v>
      </c>
      <c r="U57">
        <v>75</v>
      </c>
      <c r="V57">
        <v>70</v>
      </c>
      <c r="W57">
        <v>78</v>
      </c>
      <c r="X57">
        <v>0.88</v>
      </c>
      <c r="Y57">
        <v>295</v>
      </c>
      <c r="Z57">
        <v>0.73750000000000004</v>
      </c>
      <c r="AA57" t="str">
        <v>PASS</v>
      </c>
      <c r="AB57" t="str">
        <v>ELIGIBLE</v>
      </c>
      <c r="AC57" t="str">
        <v>VERY GOOD</v>
      </c>
    </row>
    <row r="58" spans="1:29" ht="20.25" customHeight="1">
      <c r="A58" s="9" t="s">
        <v>126</v>
      </c>
      <c r="B58" s="9" t="s">
        <v>127</v>
      </c>
      <c r="C58" s="9" t="s">
        <v>11</v>
      </c>
      <c r="D58" s="9" t="s">
        <v>12</v>
      </c>
      <c r="E58" s="9">
        <v>66</v>
      </c>
      <c r="F58" s="9">
        <v>71</v>
      </c>
      <c r="G58" s="9">
        <v>68</v>
      </c>
      <c r="H58" s="9">
        <v>75</v>
      </c>
      <c r="I58" s="11">
        <v>0.84</v>
      </c>
      <c r="J58" s="9">
        <f t="shared" si="0"/>
        <v>280</v>
      </c>
      <c r="K58" s="11">
        <f t="shared" si="1"/>
        <v>0.7</v>
      </c>
      <c r="L58" s="9" t="str">
        <f t="shared" si="2"/>
        <v>PASS</v>
      </c>
      <c r="M58" s="9" t="str">
        <f t="shared" si="3"/>
        <v>ELIGIBLE</v>
      </c>
      <c r="N58" s="9" t="str" cm="1">
        <f t="array" ref="N58">_xlfn.IFS(I58&gt;=95%,"EXCELLENT",I58&gt;=85%,"VERY GOOD",I58&gt;=75%,"GOOD",I58&gt;=65%,"IMPROVEMENT",I58&gt;=40%,"POOR",I58&gt;=0%,"WORST")</f>
        <v>GOOD</v>
      </c>
      <c r="P58" t="str">
        <v>S046</v>
      </c>
      <c r="Q58" t="str">
        <v>Prisha Sethi</v>
      </c>
      <c r="R58" t="str">
        <v>10C</v>
      </c>
      <c r="S58" t="str">
        <v>Female</v>
      </c>
      <c r="T58">
        <v>69</v>
      </c>
      <c r="U58">
        <v>76</v>
      </c>
      <c r="V58">
        <v>72</v>
      </c>
      <c r="W58">
        <v>78</v>
      </c>
      <c r="X58">
        <v>0.86</v>
      </c>
      <c r="Y58">
        <v>295</v>
      </c>
      <c r="Z58">
        <v>0.73750000000000004</v>
      </c>
      <c r="AA58" t="str">
        <v>PASS</v>
      </c>
      <c r="AB58" t="str">
        <v>ELIGIBLE</v>
      </c>
      <c r="AC58" t="str">
        <v>VERY GOOD</v>
      </c>
    </row>
    <row r="59" spans="1:29" ht="20.25" customHeight="1">
      <c r="A59" s="9" t="s">
        <v>128</v>
      </c>
      <c r="B59" s="9" t="s">
        <v>129</v>
      </c>
      <c r="C59" s="9" t="s">
        <v>21</v>
      </c>
      <c r="D59" s="9" t="s">
        <v>15</v>
      </c>
      <c r="E59" s="9">
        <v>89</v>
      </c>
      <c r="F59" s="9">
        <v>85</v>
      </c>
      <c r="G59" s="9">
        <v>93</v>
      </c>
      <c r="H59" s="9">
        <v>92</v>
      </c>
      <c r="I59" s="11">
        <v>0.97</v>
      </c>
      <c r="J59" s="9">
        <f t="shared" si="0"/>
        <v>359</v>
      </c>
      <c r="K59" s="11">
        <f t="shared" si="1"/>
        <v>0.89749999999999996</v>
      </c>
      <c r="L59" s="9" t="str">
        <f t="shared" si="2"/>
        <v>PASS</v>
      </c>
      <c r="M59" s="9" t="str">
        <f t="shared" si="3"/>
        <v>ELIGIBLE</v>
      </c>
      <c r="N59" s="9" t="str" cm="1">
        <f t="array" ref="N59">_xlfn.IFS(I59&gt;=95%,"EXCELLENT",I59&gt;=85%,"VERY GOOD",I59&gt;=75%,"GOOD",I59&gt;=65%,"IMPROVEMENT",I59&gt;=40%,"POOR",I59&gt;=0%,"WORST")</f>
        <v>EXCELLENT</v>
      </c>
      <c r="P59" t="str">
        <v>S027</v>
      </c>
      <c r="Q59" t="str">
        <v>Devansh Shah</v>
      </c>
      <c r="R59" t="str">
        <v>10A</v>
      </c>
      <c r="S59" t="str">
        <v>Male</v>
      </c>
      <c r="T59">
        <v>71</v>
      </c>
      <c r="U59">
        <v>66</v>
      </c>
      <c r="V59">
        <v>74</v>
      </c>
      <c r="W59">
        <v>80</v>
      </c>
      <c r="X59">
        <v>0.86</v>
      </c>
      <c r="Y59">
        <v>291</v>
      </c>
      <c r="Z59">
        <v>0.72750000000000004</v>
      </c>
      <c r="AA59" t="str">
        <v>PASS</v>
      </c>
      <c r="AB59" t="str">
        <v>ELIGIBLE</v>
      </c>
      <c r="AC59" t="str">
        <v>VERY GOOD</v>
      </c>
    </row>
    <row r="60" spans="1:29" ht="20.25" customHeight="1">
      <c r="A60" s="9" t="s">
        <v>130</v>
      </c>
      <c r="B60" s="9" t="s">
        <v>131</v>
      </c>
      <c r="C60" s="9" t="s">
        <v>18</v>
      </c>
      <c r="D60" s="9" t="s">
        <v>12</v>
      </c>
      <c r="E60" s="9">
        <v>55</v>
      </c>
      <c r="F60" s="9">
        <v>60</v>
      </c>
      <c r="G60" s="9">
        <v>53</v>
      </c>
      <c r="H60" s="9">
        <v>64</v>
      </c>
      <c r="I60" s="11">
        <v>0.76</v>
      </c>
      <c r="J60" s="9">
        <f t="shared" si="0"/>
        <v>232</v>
      </c>
      <c r="K60" s="11">
        <f t="shared" si="1"/>
        <v>0.57999999999999996</v>
      </c>
      <c r="L60" s="9" t="str">
        <f t="shared" si="2"/>
        <v>PASS</v>
      </c>
      <c r="M60" s="9" t="str">
        <f t="shared" si="3"/>
        <v>ELIGIBLE</v>
      </c>
      <c r="N60" s="9" t="str" cm="1">
        <f t="array" ref="N60">_xlfn.IFS(I60&gt;=95%,"EXCELLENT",I60&gt;=85%,"VERY GOOD",I60&gt;=75%,"GOOD",I60&gt;=65%,"IMPROVEMENT",I60&gt;=40%,"POOR",I60&gt;=0%,"WORST")</f>
        <v>GOOD</v>
      </c>
      <c r="P60" t="str">
        <v>S069</v>
      </c>
      <c r="Q60" t="str">
        <v>Anay Malhotra</v>
      </c>
      <c r="R60" t="str">
        <v>10A</v>
      </c>
      <c r="S60" t="str">
        <v>Male</v>
      </c>
      <c r="T60">
        <v>68</v>
      </c>
      <c r="U60">
        <v>74</v>
      </c>
      <c r="V60">
        <v>71</v>
      </c>
      <c r="W60">
        <v>76</v>
      </c>
      <c r="X60">
        <v>0.83</v>
      </c>
      <c r="Y60">
        <v>289</v>
      </c>
      <c r="Z60">
        <v>0.72250000000000003</v>
      </c>
      <c r="AA60" t="str">
        <v>PASS</v>
      </c>
      <c r="AB60" t="str">
        <v>ELIGIBLE</v>
      </c>
      <c r="AC60" t="str">
        <v>GOOD</v>
      </c>
    </row>
    <row r="61" spans="1:29" ht="20.25" customHeight="1">
      <c r="A61" s="9" t="s">
        <v>132</v>
      </c>
      <c r="B61" s="9" t="s">
        <v>133</v>
      </c>
      <c r="C61" s="9" t="s">
        <v>11</v>
      </c>
      <c r="D61" s="9" t="s">
        <v>15</v>
      </c>
      <c r="E61" s="9">
        <v>76</v>
      </c>
      <c r="F61" s="9">
        <v>82</v>
      </c>
      <c r="G61" s="9">
        <v>79</v>
      </c>
      <c r="H61" s="9">
        <v>84</v>
      </c>
      <c r="I61" s="11">
        <v>0.91</v>
      </c>
      <c r="J61" s="9">
        <f t="shared" si="0"/>
        <v>321</v>
      </c>
      <c r="K61" s="11">
        <f t="shared" si="1"/>
        <v>0.80249999999999999</v>
      </c>
      <c r="L61" s="9" t="str">
        <f t="shared" si="2"/>
        <v>PASS</v>
      </c>
      <c r="M61" s="9" t="str">
        <f t="shared" si="3"/>
        <v>ELIGIBLE</v>
      </c>
      <c r="N61" s="9" t="str" cm="1">
        <f t="array" ref="N61">_xlfn.IFS(I61&gt;=95%,"EXCELLENT",I61&gt;=85%,"VERY GOOD",I61&gt;=75%,"GOOD",I61&gt;=65%,"IMPROVEMENT",I61&gt;=40%,"POOR",I61&gt;=0%,"WORST")</f>
        <v>VERY GOOD</v>
      </c>
      <c r="P61" t="str">
        <v>S030</v>
      </c>
      <c r="Q61" t="str">
        <v>Navya Joshi</v>
      </c>
      <c r="R61" t="str">
        <v>10A</v>
      </c>
      <c r="S61" t="str">
        <v>Female</v>
      </c>
      <c r="T61">
        <v>68</v>
      </c>
      <c r="U61">
        <v>73</v>
      </c>
      <c r="V61">
        <v>71</v>
      </c>
      <c r="W61">
        <v>76</v>
      </c>
      <c r="X61">
        <v>0.85</v>
      </c>
      <c r="Y61">
        <v>288</v>
      </c>
      <c r="Z61">
        <v>0.72</v>
      </c>
      <c r="AA61" t="str">
        <v>PASS</v>
      </c>
      <c r="AB61" t="str">
        <v>ELIGIBLE</v>
      </c>
      <c r="AC61" t="str">
        <v>VERY GOOD</v>
      </c>
    </row>
    <row r="62" spans="1:29" ht="20.25" customHeight="1">
      <c r="A62" s="9" t="s">
        <v>134</v>
      </c>
      <c r="B62" s="9" t="s">
        <v>135</v>
      </c>
      <c r="C62" s="9" t="s">
        <v>21</v>
      </c>
      <c r="D62" s="9" t="s">
        <v>12</v>
      </c>
      <c r="E62" s="9">
        <v>93</v>
      </c>
      <c r="F62" s="9">
        <v>90</v>
      </c>
      <c r="G62" s="9">
        <v>95</v>
      </c>
      <c r="H62" s="9">
        <v>97</v>
      </c>
      <c r="I62" s="11">
        <v>0.99</v>
      </c>
      <c r="J62" s="9">
        <f t="shared" si="0"/>
        <v>375</v>
      </c>
      <c r="K62" s="11">
        <f t="shared" si="1"/>
        <v>0.9375</v>
      </c>
      <c r="L62" s="9" t="str">
        <f t="shared" si="2"/>
        <v>PASS</v>
      </c>
      <c r="M62" s="9" t="str">
        <f t="shared" si="3"/>
        <v>ELIGIBLE</v>
      </c>
      <c r="N62" s="9" t="str" cm="1">
        <f t="array" ref="N62">_xlfn.IFS(I62&gt;=95%,"EXCELLENT",I62&gt;=85%,"VERY GOOD",I62&gt;=75%,"GOOD",I62&gt;=65%,"IMPROVEMENT",I62&gt;=40%,"POOR",I62&gt;=0%,"WORST")</f>
        <v>EXCELLENT</v>
      </c>
      <c r="P62" t="str">
        <v>S062</v>
      </c>
      <c r="Q62" t="str">
        <v>Simran Verma</v>
      </c>
      <c r="R62" t="str">
        <v>10B</v>
      </c>
      <c r="S62" t="str">
        <v>Female</v>
      </c>
      <c r="T62">
        <v>71</v>
      </c>
      <c r="U62">
        <v>67</v>
      </c>
      <c r="V62">
        <v>73</v>
      </c>
      <c r="W62">
        <v>77</v>
      </c>
      <c r="X62">
        <v>0.85</v>
      </c>
      <c r="Y62">
        <v>288</v>
      </c>
      <c r="Z62">
        <v>0.72</v>
      </c>
      <c r="AA62" t="str">
        <v>PASS</v>
      </c>
      <c r="AB62" t="str">
        <v>ELIGIBLE</v>
      </c>
      <c r="AC62" t="str">
        <v>VERY GOOD</v>
      </c>
    </row>
    <row r="63" spans="1:29" ht="20.25" customHeight="1">
      <c r="A63" s="9" t="s">
        <v>136</v>
      </c>
      <c r="B63" s="9" t="s">
        <v>137</v>
      </c>
      <c r="C63" s="9" t="s">
        <v>18</v>
      </c>
      <c r="D63" s="9" t="s">
        <v>15</v>
      </c>
      <c r="E63" s="9">
        <v>71</v>
      </c>
      <c r="F63" s="9">
        <v>67</v>
      </c>
      <c r="G63" s="9">
        <v>73</v>
      </c>
      <c r="H63" s="9">
        <v>77</v>
      </c>
      <c r="I63" s="11">
        <v>0.85</v>
      </c>
      <c r="J63" s="9">
        <f t="shared" si="0"/>
        <v>288</v>
      </c>
      <c r="K63" s="11">
        <f t="shared" si="1"/>
        <v>0.72</v>
      </c>
      <c r="L63" s="9" t="str">
        <f t="shared" si="2"/>
        <v>PASS</v>
      </c>
      <c r="M63" s="9" t="str">
        <f t="shared" si="3"/>
        <v>ELIGIBLE</v>
      </c>
      <c r="N63" s="9" t="str" cm="1">
        <f t="array" ref="N63">_xlfn.IFS(I63&gt;=95%,"EXCELLENT",I63&gt;=85%,"VERY GOOD",I63&gt;=75%,"GOOD",I63&gt;=65%,"IMPROVEMENT",I63&gt;=40%,"POOR",I63&gt;=0%,"WORST")</f>
        <v>VERY GOOD</v>
      </c>
      <c r="P63" t="str">
        <v>S093</v>
      </c>
      <c r="Q63" t="str">
        <v>Armaan Kapoor</v>
      </c>
      <c r="R63" t="str">
        <v>10A</v>
      </c>
      <c r="S63" t="str">
        <v>Male</v>
      </c>
      <c r="T63">
        <v>69</v>
      </c>
      <c r="U63">
        <v>73</v>
      </c>
      <c r="V63">
        <v>67</v>
      </c>
      <c r="W63">
        <v>76</v>
      </c>
      <c r="X63">
        <v>0.84</v>
      </c>
      <c r="Y63">
        <v>285</v>
      </c>
      <c r="Z63">
        <v>0.71250000000000002</v>
      </c>
      <c r="AA63" t="str">
        <v>PASS</v>
      </c>
      <c r="AB63" t="str">
        <v>ELIGIBLE</v>
      </c>
      <c r="AC63" t="str">
        <v>GOOD</v>
      </c>
    </row>
    <row r="64" spans="1:29" ht="20.25" customHeight="1">
      <c r="A64" s="9" t="s">
        <v>138</v>
      </c>
      <c r="B64" s="9" t="s">
        <v>139</v>
      </c>
      <c r="C64" s="9" t="s">
        <v>11</v>
      </c>
      <c r="D64" s="9" t="s">
        <v>12</v>
      </c>
      <c r="E64" s="9">
        <v>45</v>
      </c>
      <c r="F64" s="9">
        <v>50</v>
      </c>
      <c r="G64" s="9">
        <v>47</v>
      </c>
      <c r="H64" s="9">
        <v>56</v>
      </c>
      <c r="I64" s="11">
        <v>0.72</v>
      </c>
      <c r="J64" s="9">
        <f t="shared" si="0"/>
        <v>198</v>
      </c>
      <c r="K64" s="11">
        <f t="shared" si="1"/>
        <v>0.495</v>
      </c>
      <c r="L64" s="9" t="str">
        <f t="shared" si="2"/>
        <v>PASS</v>
      </c>
      <c r="M64" s="9" t="str">
        <f t="shared" si="3"/>
        <v>NOT ELIGIBLE</v>
      </c>
      <c r="N64" s="9" t="str" cm="1">
        <f t="array" ref="N64">_xlfn.IFS(I64&gt;=95%,"EXCELLENT",I64&gt;=85%,"VERY GOOD",I64&gt;=75%,"GOOD",I64&gt;=65%,"IMPROVEMENT",I64&gt;=40%,"POOR",I64&gt;=0%,"WORST")</f>
        <v>IMPROVEMENT</v>
      </c>
      <c r="P64" t="str">
        <v>S015</v>
      </c>
      <c r="Q64" t="str">
        <v>Krish Malhotra</v>
      </c>
      <c r="R64" t="str">
        <v>10A</v>
      </c>
      <c r="S64" t="str">
        <v>Male</v>
      </c>
      <c r="T64">
        <v>69</v>
      </c>
      <c r="U64">
        <v>74</v>
      </c>
      <c r="V64">
        <v>67</v>
      </c>
      <c r="W64">
        <v>72</v>
      </c>
      <c r="X64">
        <v>0.84</v>
      </c>
      <c r="Y64">
        <v>282</v>
      </c>
      <c r="Z64">
        <v>0.70499999999999996</v>
      </c>
      <c r="AA64" t="str">
        <v>PASS</v>
      </c>
      <c r="AB64" t="str">
        <v>ELIGIBLE</v>
      </c>
      <c r="AC64" t="str">
        <v>GOOD</v>
      </c>
    </row>
    <row r="65" spans="1:29" ht="20.25" customHeight="1">
      <c r="A65" s="9" t="s">
        <v>140</v>
      </c>
      <c r="B65" s="9" t="s">
        <v>141</v>
      </c>
      <c r="C65" s="9" t="s">
        <v>21</v>
      </c>
      <c r="D65" s="9" t="s">
        <v>15</v>
      </c>
      <c r="E65" s="9">
        <v>86</v>
      </c>
      <c r="F65" s="9">
        <v>91</v>
      </c>
      <c r="G65" s="9">
        <v>88</v>
      </c>
      <c r="H65" s="9">
        <v>94</v>
      </c>
      <c r="I65" s="11">
        <v>0.96</v>
      </c>
      <c r="J65" s="9">
        <f t="shared" si="0"/>
        <v>359</v>
      </c>
      <c r="K65" s="11">
        <f t="shared" si="1"/>
        <v>0.89749999999999996</v>
      </c>
      <c r="L65" s="9" t="str">
        <f t="shared" si="2"/>
        <v>PASS</v>
      </c>
      <c r="M65" s="9" t="str">
        <f t="shared" si="3"/>
        <v>ELIGIBLE</v>
      </c>
      <c r="N65" s="9" t="str" cm="1">
        <f t="array" ref="N65">_xlfn.IFS(I65&gt;=95%,"EXCELLENT",I65&gt;=85%,"VERY GOOD",I65&gt;=75%,"GOOD",I65&gt;=65%,"IMPROVEMENT",I65&gt;=40%,"POOR",I65&gt;=0%,"WORST")</f>
        <v>EXCELLENT</v>
      </c>
      <c r="P65" t="str">
        <v>S039</v>
      </c>
      <c r="Q65" t="str">
        <v>Samar Iyer</v>
      </c>
      <c r="R65" t="str">
        <v>10A</v>
      </c>
      <c r="S65" t="str">
        <v>Male</v>
      </c>
      <c r="T65">
        <v>67</v>
      </c>
      <c r="U65">
        <v>72</v>
      </c>
      <c r="V65">
        <v>69</v>
      </c>
      <c r="W65">
        <v>74</v>
      </c>
      <c r="X65">
        <v>0.83</v>
      </c>
      <c r="Y65">
        <v>282</v>
      </c>
      <c r="Z65">
        <v>0.70499999999999996</v>
      </c>
      <c r="AA65" t="str">
        <v>PASS</v>
      </c>
      <c r="AB65" t="str">
        <v>ELIGIBLE</v>
      </c>
      <c r="AC65" t="str">
        <v>GOOD</v>
      </c>
    </row>
    <row r="66" spans="1:29" ht="20.25" customHeight="1">
      <c r="A66" s="9" t="s">
        <v>142</v>
      </c>
      <c r="B66" s="9" t="s">
        <v>143</v>
      </c>
      <c r="C66" s="9" t="s">
        <v>18</v>
      </c>
      <c r="D66" s="9" t="s">
        <v>12</v>
      </c>
      <c r="E66" s="9">
        <v>60</v>
      </c>
      <c r="F66" s="9">
        <v>65</v>
      </c>
      <c r="G66" s="9">
        <v>62</v>
      </c>
      <c r="H66" s="9">
        <v>69</v>
      </c>
      <c r="I66" s="11">
        <v>0.8</v>
      </c>
      <c r="J66" s="9">
        <f t="shared" si="0"/>
        <v>256</v>
      </c>
      <c r="K66" s="11">
        <f t="shared" si="1"/>
        <v>0.64</v>
      </c>
      <c r="L66" s="9" t="str">
        <f t="shared" si="2"/>
        <v>PASS</v>
      </c>
      <c r="M66" s="9" t="str">
        <f t="shared" si="3"/>
        <v>ELIGIBLE</v>
      </c>
      <c r="N66" s="9" t="str" cm="1">
        <f t="array" ref="N66">_xlfn.IFS(I66&gt;=95%,"EXCELLENT",I66&gt;=85%,"VERY GOOD",I66&gt;=75%,"GOOD",I66&gt;=65%,"IMPROVEMENT",I66&gt;=40%,"POOR",I66&gt;=0%,"WORST")</f>
        <v>GOOD</v>
      </c>
      <c r="P66" t="str">
        <v>S057</v>
      </c>
      <c r="Q66" t="str">
        <v>Vihaan Mehta</v>
      </c>
      <c r="R66" t="str">
        <v>10A</v>
      </c>
      <c r="S66" t="str">
        <v>Male</v>
      </c>
      <c r="T66">
        <v>66</v>
      </c>
      <c r="U66">
        <v>71</v>
      </c>
      <c r="V66">
        <v>68</v>
      </c>
      <c r="W66">
        <v>75</v>
      </c>
      <c r="X66">
        <v>0.84</v>
      </c>
      <c r="Y66">
        <v>280</v>
      </c>
      <c r="Z66">
        <v>0.7</v>
      </c>
      <c r="AA66" t="str">
        <v>PASS</v>
      </c>
      <c r="AB66" t="str">
        <v>ELIGIBLE</v>
      </c>
      <c r="AC66" t="str">
        <v>GOOD</v>
      </c>
    </row>
    <row r="67" spans="1:29" ht="20.25" customHeight="1">
      <c r="A67" s="9" t="s">
        <v>144</v>
      </c>
      <c r="B67" s="9" t="s">
        <v>145</v>
      </c>
      <c r="C67" s="9" t="s">
        <v>11</v>
      </c>
      <c r="D67" s="9" t="s">
        <v>15</v>
      </c>
      <c r="E67" s="9">
        <v>79</v>
      </c>
      <c r="F67" s="9">
        <v>84</v>
      </c>
      <c r="G67" s="9">
        <v>81</v>
      </c>
      <c r="H67" s="9">
        <v>87</v>
      </c>
      <c r="I67" s="11">
        <v>0.92</v>
      </c>
      <c r="J67" s="9">
        <f t="shared" ref="J67:J101" si="4">SUM(E67:H67)</f>
        <v>331</v>
      </c>
      <c r="K67" s="11">
        <f t="shared" ref="K67:K101" si="5">J67/400</f>
        <v>0.82750000000000001</v>
      </c>
      <c r="L67" s="9" t="str">
        <f t="shared" ref="L67:L101" si="6">IF(MIN(E67:H67)&gt;=40,"PASS","FAIL")</f>
        <v>PASS</v>
      </c>
      <c r="M67" s="9" t="str">
        <f t="shared" ref="M67:M101" si="7">IF(I67&gt;=75%,"ELIGIBLE","NOT ELIGIBLE")</f>
        <v>ELIGIBLE</v>
      </c>
      <c r="N67" s="9" t="str" cm="1">
        <f t="array" ref="N67">_xlfn.IFS(I67&gt;=95%,"EXCELLENT",I67&gt;=85%,"VERY GOOD",I67&gt;=75%,"GOOD",I67&gt;=65%,"IMPROVEMENT",I67&gt;=40%,"POOR",I67&gt;=0%,"WORST")</f>
        <v>VERY GOOD</v>
      </c>
      <c r="P67" t="str">
        <v>S002</v>
      </c>
      <c r="Q67" t="str">
        <v>Riya Patel</v>
      </c>
      <c r="R67" t="str">
        <v>10A</v>
      </c>
      <c r="S67" t="str">
        <v>Female</v>
      </c>
      <c r="T67">
        <v>65</v>
      </c>
      <c r="U67">
        <v>71</v>
      </c>
      <c r="V67">
        <v>68</v>
      </c>
      <c r="W67">
        <v>75</v>
      </c>
      <c r="X67">
        <v>0.87</v>
      </c>
      <c r="Y67">
        <v>279</v>
      </c>
      <c r="Z67">
        <v>0.69750000000000001</v>
      </c>
      <c r="AA67" t="str">
        <v>PASS</v>
      </c>
      <c r="AB67" t="str">
        <v>ELIGIBLE</v>
      </c>
      <c r="AC67" t="str">
        <v>VERY GOOD</v>
      </c>
    </row>
    <row r="68" spans="1:29" ht="20.25" customHeight="1">
      <c r="A68" s="9" t="s">
        <v>146</v>
      </c>
      <c r="B68" s="9" t="s">
        <v>147</v>
      </c>
      <c r="C68" s="9" t="s">
        <v>21</v>
      </c>
      <c r="D68" s="9" t="s">
        <v>12</v>
      </c>
      <c r="E68" s="9">
        <v>53</v>
      </c>
      <c r="F68" s="9">
        <v>57</v>
      </c>
      <c r="G68" s="9">
        <v>50</v>
      </c>
      <c r="H68" s="9">
        <v>61</v>
      </c>
      <c r="I68" s="11">
        <v>0.75</v>
      </c>
      <c r="J68" s="9">
        <f t="shared" si="4"/>
        <v>221</v>
      </c>
      <c r="K68" s="11">
        <f t="shared" si="5"/>
        <v>0.55249999999999999</v>
      </c>
      <c r="L68" s="9" t="str">
        <f t="shared" si="6"/>
        <v>PASS</v>
      </c>
      <c r="M68" s="9" t="str">
        <f t="shared" si="7"/>
        <v>ELIGIBLE</v>
      </c>
      <c r="N68" s="9" t="str" cm="1">
        <f t="array" ref="N68">_xlfn.IFS(I68&gt;=95%,"EXCELLENT",I68&gt;=85%,"VERY GOOD",I68&gt;=75%,"GOOD",I68&gt;=65%,"IMPROVEMENT",I68&gt;=40%,"POOR",I68&gt;=0%,"WORST")</f>
        <v>GOOD</v>
      </c>
      <c r="P68" t="str">
        <v>S081</v>
      </c>
      <c r="Q68" t="str">
        <v>Aditya Mehta</v>
      </c>
      <c r="R68" t="str">
        <v>10A</v>
      </c>
      <c r="S68" t="str">
        <v>Male</v>
      </c>
      <c r="T68">
        <v>64</v>
      </c>
      <c r="U68">
        <v>69</v>
      </c>
      <c r="V68">
        <v>66</v>
      </c>
      <c r="W68">
        <v>72</v>
      </c>
      <c r="X68">
        <v>0.82</v>
      </c>
      <c r="Y68">
        <v>271</v>
      </c>
      <c r="Z68">
        <v>0.67749999999999999</v>
      </c>
      <c r="AA68" t="str">
        <v>PASS</v>
      </c>
      <c r="AB68" t="str">
        <v>ELIGIBLE</v>
      </c>
      <c r="AC68" t="str">
        <v>GOOD</v>
      </c>
    </row>
    <row r="69" spans="1:29" ht="20.25" customHeight="1">
      <c r="A69" s="9" t="s">
        <v>148</v>
      </c>
      <c r="B69" s="9" t="s">
        <v>149</v>
      </c>
      <c r="C69" s="9" t="s">
        <v>18</v>
      </c>
      <c r="D69" s="9" t="s">
        <v>15</v>
      </c>
      <c r="E69" s="9">
        <v>88</v>
      </c>
      <c r="F69" s="9">
        <v>92</v>
      </c>
      <c r="G69" s="9">
        <v>86</v>
      </c>
      <c r="H69" s="9">
        <v>90</v>
      </c>
      <c r="I69" s="11">
        <v>0.98</v>
      </c>
      <c r="J69" s="9">
        <f t="shared" si="4"/>
        <v>356</v>
      </c>
      <c r="K69" s="11">
        <f t="shared" si="5"/>
        <v>0.89</v>
      </c>
      <c r="L69" s="9" t="str">
        <f t="shared" si="6"/>
        <v>PASS</v>
      </c>
      <c r="M69" s="9" t="str">
        <f t="shared" si="7"/>
        <v>ELIGIBLE</v>
      </c>
      <c r="N69" s="9" t="str" cm="1">
        <f t="array" ref="N69">_xlfn.IFS(I69&gt;=95%,"EXCELLENT",I69&gt;=85%,"VERY GOOD",I69&gt;=75%,"GOOD",I69&gt;=65%,"IMPROVEMENT",I69&gt;=40%,"POOR",I69&gt;=0%,"WORST")</f>
        <v>EXCELLENT</v>
      </c>
      <c r="P69" t="str">
        <v>S098</v>
      </c>
      <c r="Q69" t="str">
        <v>Tanya Desai</v>
      </c>
      <c r="R69" t="str">
        <v>10B</v>
      </c>
      <c r="S69" t="str">
        <v>Female</v>
      </c>
      <c r="T69">
        <v>63</v>
      </c>
      <c r="U69">
        <v>70</v>
      </c>
      <c r="V69">
        <v>65</v>
      </c>
      <c r="W69">
        <v>73</v>
      </c>
      <c r="X69">
        <v>0.83</v>
      </c>
      <c r="Y69">
        <v>271</v>
      </c>
      <c r="Z69">
        <v>0.67749999999999999</v>
      </c>
      <c r="AA69" t="str">
        <v>PASS</v>
      </c>
      <c r="AB69" t="str">
        <v>ELIGIBLE</v>
      </c>
      <c r="AC69" t="str">
        <v>GOOD</v>
      </c>
    </row>
    <row r="70" spans="1:29" ht="20.25" customHeight="1">
      <c r="A70" s="9" t="s">
        <v>150</v>
      </c>
      <c r="B70" s="9" t="s">
        <v>151</v>
      </c>
      <c r="C70" s="9" t="s">
        <v>11</v>
      </c>
      <c r="D70" s="9" t="s">
        <v>12</v>
      </c>
      <c r="E70" s="9">
        <v>68</v>
      </c>
      <c r="F70" s="9">
        <v>74</v>
      </c>
      <c r="G70" s="9">
        <v>71</v>
      </c>
      <c r="H70" s="9">
        <v>76</v>
      </c>
      <c r="I70" s="11">
        <v>0.83</v>
      </c>
      <c r="J70" s="9">
        <f t="shared" si="4"/>
        <v>289</v>
      </c>
      <c r="K70" s="11">
        <f t="shared" si="5"/>
        <v>0.72250000000000003</v>
      </c>
      <c r="L70" s="9" t="str">
        <f t="shared" si="6"/>
        <v>PASS</v>
      </c>
      <c r="M70" s="9" t="str">
        <f t="shared" si="7"/>
        <v>ELIGIBLE</v>
      </c>
      <c r="N70" s="9" t="str" cm="1">
        <f t="array" ref="N70">_xlfn.IFS(I70&gt;=95%,"EXCELLENT",I70&gt;=85%,"VERY GOOD",I70&gt;=75%,"GOOD",I70&gt;=65%,"IMPROVEMENT",I70&gt;=40%,"POOR",I70&gt;=0%,"WORST")</f>
        <v>GOOD</v>
      </c>
      <c r="P70" t="str">
        <v>S049</v>
      </c>
      <c r="Q70" t="str">
        <v>Om Verma</v>
      </c>
      <c r="R70" t="str">
        <v>10C</v>
      </c>
      <c r="S70" t="str">
        <v>Male</v>
      </c>
      <c r="T70">
        <v>62</v>
      </c>
      <c r="U70">
        <v>68</v>
      </c>
      <c r="V70">
        <v>65</v>
      </c>
      <c r="W70">
        <v>73</v>
      </c>
      <c r="X70">
        <v>0.81</v>
      </c>
      <c r="Y70">
        <v>268</v>
      </c>
      <c r="Z70">
        <v>0.67</v>
      </c>
      <c r="AA70" t="str">
        <v>PASS</v>
      </c>
      <c r="AB70" t="str">
        <v>ELIGIBLE</v>
      </c>
      <c r="AC70" t="str">
        <v>GOOD</v>
      </c>
    </row>
    <row r="71" spans="1:29" ht="20.25" customHeight="1">
      <c r="A71" s="9" t="s">
        <v>152</v>
      </c>
      <c r="B71" s="9" t="s">
        <v>153</v>
      </c>
      <c r="C71" s="9" t="s">
        <v>21</v>
      </c>
      <c r="D71" s="9" t="s">
        <v>15</v>
      </c>
      <c r="E71" s="9">
        <v>95</v>
      </c>
      <c r="F71" s="9">
        <v>89</v>
      </c>
      <c r="G71" s="9">
        <v>94</v>
      </c>
      <c r="H71" s="9">
        <v>96</v>
      </c>
      <c r="I71" s="11">
        <v>0.99</v>
      </c>
      <c r="J71" s="9">
        <f t="shared" si="4"/>
        <v>374</v>
      </c>
      <c r="K71" s="11">
        <f t="shared" si="5"/>
        <v>0.93500000000000005</v>
      </c>
      <c r="L71" s="9" t="str">
        <f t="shared" si="6"/>
        <v>PASS</v>
      </c>
      <c r="M71" s="9" t="str">
        <f t="shared" si="7"/>
        <v>ELIGIBLE</v>
      </c>
      <c r="N71" s="9" t="str" cm="1">
        <f t="array" ref="N71">_xlfn.IFS(I71&gt;=95%,"EXCELLENT",I71&gt;=85%,"VERY GOOD",I71&gt;=75%,"GOOD",I71&gt;=65%,"IMPROVEMENT",I71&gt;=40%,"POOR",I71&gt;=0%,"WORST")</f>
        <v>EXCELLENT</v>
      </c>
      <c r="P71" t="str">
        <v>S022</v>
      </c>
      <c r="Q71" t="str">
        <v>Kiara Kapoor</v>
      </c>
      <c r="R71" t="str">
        <v>10C</v>
      </c>
      <c r="S71" t="str">
        <v>Female</v>
      </c>
      <c r="T71">
        <v>64</v>
      </c>
      <c r="U71">
        <v>69</v>
      </c>
      <c r="V71">
        <v>62</v>
      </c>
      <c r="W71">
        <v>71</v>
      </c>
      <c r="X71">
        <v>0.82</v>
      </c>
      <c r="Y71">
        <v>266</v>
      </c>
      <c r="Z71">
        <v>0.66500000000000004</v>
      </c>
      <c r="AA71" t="str">
        <v>PASS</v>
      </c>
      <c r="AB71" t="str">
        <v>ELIGIBLE</v>
      </c>
      <c r="AC71" t="str">
        <v>GOOD</v>
      </c>
    </row>
    <row r="72" spans="1:29" ht="20.25" customHeight="1">
      <c r="A72" s="9" t="s">
        <v>154</v>
      </c>
      <c r="B72" s="9" t="s">
        <v>155</v>
      </c>
      <c r="C72" s="9" t="s">
        <v>18</v>
      </c>
      <c r="D72" s="9" t="s">
        <v>12</v>
      </c>
      <c r="E72" s="9">
        <v>39</v>
      </c>
      <c r="F72" s="9">
        <v>46</v>
      </c>
      <c r="G72" s="9">
        <v>42</v>
      </c>
      <c r="H72" s="9">
        <v>51</v>
      </c>
      <c r="I72" s="11">
        <v>0.68</v>
      </c>
      <c r="J72" s="9">
        <f t="shared" si="4"/>
        <v>178</v>
      </c>
      <c r="K72" s="11">
        <f t="shared" si="5"/>
        <v>0.44500000000000001</v>
      </c>
      <c r="L72" s="9" t="str">
        <f t="shared" si="6"/>
        <v>FAIL</v>
      </c>
      <c r="M72" s="9" t="str">
        <f t="shared" si="7"/>
        <v>NOT ELIGIBLE</v>
      </c>
      <c r="N72" s="9" t="str" cm="1">
        <f t="array" ref="N72">_xlfn.IFS(I72&gt;=95%,"EXCELLENT",I72&gt;=85%,"VERY GOOD",I72&gt;=75%,"GOOD",I72&gt;=65%,"IMPROVEMENT",I72&gt;=40%,"POOR",I72&gt;=0%,"WORST")</f>
        <v>IMPROVEMENT</v>
      </c>
      <c r="P72" t="str">
        <v>S089</v>
      </c>
      <c r="Q72" t="str">
        <v>Rishaan Gupta</v>
      </c>
      <c r="R72" t="str">
        <v>10B</v>
      </c>
      <c r="S72" t="str">
        <v>Male</v>
      </c>
      <c r="T72">
        <v>61</v>
      </c>
      <c r="U72">
        <v>66</v>
      </c>
      <c r="V72">
        <v>63</v>
      </c>
      <c r="W72">
        <v>71</v>
      </c>
      <c r="X72">
        <v>0.8</v>
      </c>
      <c r="Y72">
        <v>261</v>
      </c>
      <c r="Z72">
        <v>0.65249999999999997</v>
      </c>
      <c r="AA72" t="str">
        <v>PASS</v>
      </c>
      <c r="AB72" t="str">
        <v>ELIGIBLE</v>
      </c>
      <c r="AC72" t="str">
        <v>GOOD</v>
      </c>
    </row>
    <row r="73" spans="1:29" ht="20.25" customHeight="1">
      <c r="A73" s="9" t="s">
        <v>156</v>
      </c>
      <c r="B73" s="9" t="s">
        <v>157</v>
      </c>
      <c r="C73" s="9" t="s">
        <v>11</v>
      </c>
      <c r="D73" s="9" t="s">
        <v>15</v>
      </c>
      <c r="E73" s="9">
        <v>81</v>
      </c>
      <c r="F73" s="9">
        <v>86</v>
      </c>
      <c r="G73" s="9">
        <v>83</v>
      </c>
      <c r="H73" s="9">
        <v>88</v>
      </c>
      <c r="I73" s="11">
        <v>0.94</v>
      </c>
      <c r="J73" s="9">
        <f t="shared" si="4"/>
        <v>338</v>
      </c>
      <c r="K73" s="11">
        <f t="shared" si="5"/>
        <v>0.84499999999999997</v>
      </c>
      <c r="L73" s="9" t="str">
        <f t="shared" si="6"/>
        <v>PASS</v>
      </c>
      <c r="M73" s="9" t="str">
        <f t="shared" si="7"/>
        <v>ELIGIBLE</v>
      </c>
      <c r="N73" s="9" t="str" cm="1">
        <f t="array" ref="N73">_xlfn.IFS(I73&gt;=95%,"EXCELLENT",I73&gt;=85%,"VERY GOOD",I73&gt;=75%,"GOOD",I73&gt;=65%,"IMPROVEMENT",I73&gt;=40%,"POOR",I73&gt;=0%,"WORST")</f>
        <v>VERY GOOD</v>
      </c>
      <c r="P73" t="str">
        <v>S035</v>
      </c>
      <c r="Q73" t="str">
        <v>Parth Verma</v>
      </c>
      <c r="R73" t="str">
        <v>10B</v>
      </c>
      <c r="S73" t="str">
        <v>Male</v>
      </c>
      <c r="T73">
        <v>63</v>
      </c>
      <c r="U73">
        <v>59</v>
      </c>
      <c r="V73">
        <v>66</v>
      </c>
      <c r="W73">
        <v>70</v>
      </c>
      <c r="X73">
        <v>0.8</v>
      </c>
      <c r="Y73">
        <v>258</v>
      </c>
      <c r="Z73">
        <v>0.64500000000000002</v>
      </c>
      <c r="AA73" t="str">
        <v>PASS</v>
      </c>
      <c r="AB73" t="str">
        <v>ELIGIBLE</v>
      </c>
      <c r="AC73" t="str">
        <v>GOOD</v>
      </c>
    </row>
    <row r="74" spans="1:29" ht="20.25" customHeight="1">
      <c r="A74" s="9" t="s">
        <v>158</v>
      </c>
      <c r="B74" s="9" t="s">
        <v>159</v>
      </c>
      <c r="C74" s="9" t="s">
        <v>21</v>
      </c>
      <c r="D74" s="9" t="s">
        <v>12</v>
      </c>
      <c r="E74" s="9">
        <v>74</v>
      </c>
      <c r="F74" s="9">
        <v>69</v>
      </c>
      <c r="G74" s="9">
        <v>77</v>
      </c>
      <c r="H74" s="9">
        <v>82</v>
      </c>
      <c r="I74" s="11">
        <v>0.89</v>
      </c>
      <c r="J74" s="9">
        <f t="shared" si="4"/>
        <v>302</v>
      </c>
      <c r="K74" s="11">
        <f t="shared" si="5"/>
        <v>0.755</v>
      </c>
      <c r="L74" s="9" t="str">
        <f t="shared" si="6"/>
        <v>PASS</v>
      </c>
      <c r="M74" s="9" t="str">
        <f t="shared" si="7"/>
        <v>ELIGIBLE</v>
      </c>
      <c r="N74" s="9" t="str" cm="1">
        <f t="array" ref="N74">_xlfn.IFS(I74&gt;=95%,"EXCELLENT",I74&gt;=85%,"VERY GOOD",I74&gt;=75%,"GOOD",I74&gt;=65%,"IMPROVEMENT",I74&gt;=40%,"POOR",I74&gt;=0%,"WORST")</f>
        <v>VERY GOOD</v>
      </c>
      <c r="P74" t="str">
        <v>S065</v>
      </c>
      <c r="Q74" t="str">
        <v>Dev Patel</v>
      </c>
      <c r="R74" t="str">
        <v>10B</v>
      </c>
      <c r="S74" t="str">
        <v>Male</v>
      </c>
      <c r="T74">
        <v>60</v>
      </c>
      <c r="U74">
        <v>65</v>
      </c>
      <c r="V74">
        <v>62</v>
      </c>
      <c r="W74">
        <v>69</v>
      </c>
      <c r="X74">
        <v>0.8</v>
      </c>
      <c r="Y74">
        <v>256</v>
      </c>
      <c r="Z74">
        <v>0.64</v>
      </c>
      <c r="AA74" t="str">
        <v>PASS</v>
      </c>
      <c r="AB74" t="str">
        <v>ELIGIBLE</v>
      </c>
      <c r="AC74" t="str">
        <v>GOOD</v>
      </c>
    </row>
    <row r="75" spans="1:29" ht="20.25" customHeight="1">
      <c r="A75" s="9" t="s">
        <v>160</v>
      </c>
      <c r="B75" s="9" t="s">
        <v>161</v>
      </c>
      <c r="C75" s="9" t="s">
        <v>18</v>
      </c>
      <c r="D75" s="9" t="s">
        <v>15</v>
      </c>
      <c r="E75" s="9">
        <v>92</v>
      </c>
      <c r="F75" s="9">
        <v>96</v>
      </c>
      <c r="G75" s="9">
        <v>91</v>
      </c>
      <c r="H75" s="9">
        <v>95</v>
      </c>
      <c r="I75" s="11">
        <v>0.98</v>
      </c>
      <c r="J75" s="9">
        <f t="shared" si="4"/>
        <v>374</v>
      </c>
      <c r="K75" s="11">
        <f t="shared" si="5"/>
        <v>0.93500000000000005</v>
      </c>
      <c r="L75" s="9" t="str">
        <f t="shared" si="6"/>
        <v>PASS</v>
      </c>
      <c r="M75" s="9" t="str">
        <f t="shared" si="7"/>
        <v>ELIGIBLE</v>
      </c>
      <c r="N75" s="9" t="str" cm="1">
        <f t="array" ref="N75">_xlfn.IFS(I75&gt;=95%,"EXCELLENT",I75&gt;=85%,"VERY GOOD",I75&gt;=75%,"GOOD",I75&gt;=65%,"IMPROVEMENT",I75&gt;=40%,"POOR",I75&gt;=0%,"WORST")</f>
        <v>EXCELLENT</v>
      </c>
      <c r="P75" t="str">
        <v>S010</v>
      </c>
      <c r="Q75" t="str">
        <v>Meera Nair</v>
      </c>
      <c r="R75" t="str">
        <v>10C</v>
      </c>
      <c r="S75" t="str">
        <v>Female</v>
      </c>
      <c r="T75">
        <v>61</v>
      </c>
      <c r="U75">
        <v>57</v>
      </c>
      <c r="V75">
        <v>64</v>
      </c>
      <c r="W75">
        <v>69</v>
      </c>
      <c r="X75">
        <v>0.78</v>
      </c>
      <c r="Y75">
        <v>251</v>
      </c>
      <c r="Z75">
        <v>0.62749999999999995</v>
      </c>
      <c r="AA75" t="str">
        <v>PASS</v>
      </c>
      <c r="AB75" t="str">
        <v>ELIGIBLE</v>
      </c>
      <c r="AC75" t="str">
        <v>GOOD</v>
      </c>
    </row>
    <row r="76" spans="1:29" ht="20.25" customHeight="1">
      <c r="A76" s="9" t="s">
        <v>162</v>
      </c>
      <c r="B76" s="9" t="s">
        <v>163</v>
      </c>
      <c r="C76" s="9" t="s">
        <v>11</v>
      </c>
      <c r="D76" s="9" t="s">
        <v>12</v>
      </c>
      <c r="E76" s="9">
        <v>58</v>
      </c>
      <c r="F76" s="9">
        <v>54</v>
      </c>
      <c r="G76" s="9">
        <v>60</v>
      </c>
      <c r="H76" s="9">
        <v>67</v>
      </c>
      <c r="I76" s="11">
        <v>0.78</v>
      </c>
      <c r="J76" s="9">
        <f t="shared" si="4"/>
        <v>239</v>
      </c>
      <c r="K76" s="11">
        <f t="shared" si="5"/>
        <v>0.59750000000000003</v>
      </c>
      <c r="L76" s="9" t="str">
        <f t="shared" si="6"/>
        <v>PASS</v>
      </c>
      <c r="M76" s="9" t="str">
        <f t="shared" si="7"/>
        <v>ELIGIBLE</v>
      </c>
      <c r="N76" s="9" t="str" cm="1">
        <f t="array" ref="N76">_xlfn.IFS(I76&gt;=95%,"EXCELLENT",I76&gt;=85%,"VERY GOOD",I76&gt;=75%,"GOOD",I76&gt;=65%,"IMPROVEMENT",I76&gt;=40%,"POOR",I76&gt;=0%,"WORST")</f>
        <v>GOOD</v>
      </c>
      <c r="P76" t="str">
        <v>S041</v>
      </c>
      <c r="Q76" t="str">
        <v>Veer Malhotra</v>
      </c>
      <c r="R76" t="str">
        <v>10B</v>
      </c>
      <c r="S76" t="str">
        <v>Male</v>
      </c>
      <c r="T76">
        <v>57</v>
      </c>
      <c r="U76">
        <v>64</v>
      </c>
      <c r="V76">
        <v>61</v>
      </c>
      <c r="W76">
        <v>68</v>
      </c>
      <c r="X76">
        <v>0.78</v>
      </c>
      <c r="Y76">
        <v>250</v>
      </c>
      <c r="Z76">
        <v>0.625</v>
      </c>
      <c r="AA76" t="str">
        <v>PASS</v>
      </c>
      <c r="AB76" t="str">
        <v>ELIGIBLE</v>
      </c>
      <c r="AC76" t="str">
        <v>GOOD</v>
      </c>
    </row>
    <row r="77" spans="1:29" ht="20.25" customHeight="1">
      <c r="A77" s="9" t="s">
        <v>164</v>
      </c>
      <c r="B77" s="9" t="s">
        <v>165</v>
      </c>
      <c r="C77" s="9" t="s">
        <v>21</v>
      </c>
      <c r="D77" s="9" t="s">
        <v>12</v>
      </c>
      <c r="E77" s="9">
        <v>77</v>
      </c>
      <c r="F77" s="9">
        <v>81</v>
      </c>
      <c r="G77" s="9">
        <v>75</v>
      </c>
      <c r="H77" s="9">
        <v>84</v>
      </c>
      <c r="I77" s="11">
        <v>0.9</v>
      </c>
      <c r="J77" s="9">
        <f t="shared" si="4"/>
        <v>317</v>
      </c>
      <c r="K77" s="11">
        <f t="shared" si="5"/>
        <v>0.79249999999999998</v>
      </c>
      <c r="L77" s="9" t="str">
        <f t="shared" si="6"/>
        <v>PASS</v>
      </c>
      <c r="M77" s="9" t="str">
        <f t="shared" si="7"/>
        <v>ELIGIBLE</v>
      </c>
      <c r="N77" s="9" t="str" cm="1">
        <f t="array" ref="N77">_xlfn.IFS(I77&gt;=95%,"EXCELLENT",I77&gt;=85%,"VERY GOOD",I77&gt;=75%,"GOOD",I77&gt;=65%,"IMPROVEMENT",I77&gt;=40%,"POOR",I77&gt;=0%,"WORST")</f>
        <v>VERY GOOD</v>
      </c>
      <c r="P77" t="str">
        <v>S005</v>
      </c>
      <c r="Q77" t="str">
        <v>Arjun Verma</v>
      </c>
      <c r="R77" t="str">
        <v>10B</v>
      </c>
      <c r="S77" t="str">
        <v>Male</v>
      </c>
      <c r="T77">
        <v>56</v>
      </c>
      <c r="U77">
        <v>63</v>
      </c>
      <c r="V77">
        <v>59</v>
      </c>
      <c r="W77">
        <v>70</v>
      </c>
      <c r="X77">
        <v>0.81</v>
      </c>
      <c r="Y77">
        <v>248</v>
      </c>
      <c r="Z77">
        <v>0.62</v>
      </c>
      <c r="AA77" t="str">
        <v>PASS</v>
      </c>
      <c r="AB77" t="str">
        <v>ELIGIBLE</v>
      </c>
      <c r="AC77" t="str">
        <v>GOOD</v>
      </c>
    </row>
    <row r="78" spans="1:29" ht="20.25" customHeight="1">
      <c r="A78" s="9" t="s">
        <v>166</v>
      </c>
      <c r="B78" s="9" t="s">
        <v>167</v>
      </c>
      <c r="C78" s="9" t="s">
        <v>18</v>
      </c>
      <c r="D78" s="9" t="s">
        <v>15</v>
      </c>
      <c r="E78" s="9">
        <v>85</v>
      </c>
      <c r="F78" s="9">
        <v>88</v>
      </c>
      <c r="G78" s="9">
        <v>82</v>
      </c>
      <c r="H78" s="9">
        <v>91</v>
      </c>
      <c r="I78" s="11">
        <v>0.95</v>
      </c>
      <c r="J78" s="9">
        <f t="shared" si="4"/>
        <v>346</v>
      </c>
      <c r="K78" s="11">
        <f t="shared" si="5"/>
        <v>0.86499999999999999</v>
      </c>
      <c r="L78" s="9" t="str">
        <f t="shared" si="6"/>
        <v>PASS</v>
      </c>
      <c r="M78" s="9" t="str">
        <f t="shared" si="7"/>
        <v>ELIGIBLE</v>
      </c>
      <c r="N78" s="9" t="str" cm="1">
        <f t="array" ref="N78">_xlfn.IFS(I78&gt;=95%,"EXCELLENT",I78&gt;=85%,"VERY GOOD",I78&gt;=75%,"GOOD",I78&gt;=65%,"IMPROVEMENT",I78&gt;=40%,"POOR",I78&gt;=0%,"WORST")</f>
        <v>EXCELLENT</v>
      </c>
      <c r="P78" t="str">
        <v>S052</v>
      </c>
      <c r="Q78" t="str">
        <v>Shruti Shah</v>
      </c>
      <c r="R78" t="str">
        <v>10C</v>
      </c>
      <c r="S78" t="str">
        <v>Female</v>
      </c>
      <c r="T78">
        <v>59</v>
      </c>
      <c r="U78">
        <v>63</v>
      </c>
      <c r="V78">
        <v>58</v>
      </c>
      <c r="W78">
        <v>66</v>
      </c>
      <c r="X78">
        <v>0.77</v>
      </c>
      <c r="Y78">
        <v>246</v>
      </c>
      <c r="Z78">
        <v>0.61499999999999999</v>
      </c>
      <c r="AA78" t="str">
        <v>PASS</v>
      </c>
      <c r="AB78" t="str">
        <v>ELIGIBLE</v>
      </c>
      <c r="AC78" t="str">
        <v>GOOD</v>
      </c>
    </row>
    <row r="79" spans="1:29" ht="20.25" customHeight="1">
      <c r="A79" s="9" t="s">
        <v>168</v>
      </c>
      <c r="B79" s="9" t="s">
        <v>169</v>
      </c>
      <c r="C79" s="9" t="s">
        <v>11</v>
      </c>
      <c r="D79" s="9" t="s">
        <v>15</v>
      </c>
      <c r="E79" s="9">
        <v>70</v>
      </c>
      <c r="F79" s="9">
        <v>76</v>
      </c>
      <c r="G79" s="9">
        <v>73</v>
      </c>
      <c r="H79" s="9">
        <v>79</v>
      </c>
      <c r="I79" s="11">
        <v>0.86</v>
      </c>
      <c r="J79" s="9">
        <f t="shared" si="4"/>
        <v>298</v>
      </c>
      <c r="K79" s="11">
        <f t="shared" si="5"/>
        <v>0.745</v>
      </c>
      <c r="L79" s="9" t="str">
        <f t="shared" si="6"/>
        <v>PASS</v>
      </c>
      <c r="M79" s="9" t="str">
        <f t="shared" si="7"/>
        <v>ELIGIBLE</v>
      </c>
      <c r="N79" s="9" t="str" cm="1">
        <f t="array" ref="N79">_xlfn.IFS(I79&gt;=95%,"EXCELLENT",I79&gt;=85%,"VERY GOOD",I79&gt;=75%,"GOOD",I79&gt;=65%,"IMPROVEMENT",I79&gt;=40%,"POOR",I79&gt;=0%,"WORST")</f>
        <v>VERY GOOD</v>
      </c>
      <c r="P79" t="str">
        <v>S023</v>
      </c>
      <c r="Q79" t="str">
        <v>Rudra Patil</v>
      </c>
      <c r="R79" t="str">
        <v>10B</v>
      </c>
      <c r="S79" t="str">
        <v>Male</v>
      </c>
      <c r="T79">
        <v>58</v>
      </c>
      <c r="U79">
        <v>61</v>
      </c>
      <c r="V79">
        <v>55</v>
      </c>
      <c r="W79">
        <v>67</v>
      </c>
      <c r="X79">
        <v>0.79</v>
      </c>
      <c r="Y79">
        <v>241</v>
      </c>
      <c r="Z79">
        <v>0.60250000000000004</v>
      </c>
      <c r="AA79" t="str">
        <v>PASS</v>
      </c>
      <c r="AB79" t="str">
        <v>ELIGIBLE</v>
      </c>
      <c r="AC79" t="str">
        <v>GOOD</v>
      </c>
    </row>
    <row r="80" spans="1:29" ht="20.25" customHeight="1">
      <c r="A80" s="9" t="s">
        <v>170</v>
      </c>
      <c r="B80" s="9" t="s">
        <v>171</v>
      </c>
      <c r="C80" s="9" t="s">
        <v>21</v>
      </c>
      <c r="D80" s="9" t="s">
        <v>12</v>
      </c>
      <c r="E80" s="9">
        <v>43</v>
      </c>
      <c r="F80" s="9">
        <v>49</v>
      </c>
      <c r="G80" s="9">
        <v>45</v>
      </c>
      <c r="H80" s="9">
        <v>54</v>
      </c>
      <c r="I80" s="11">
        <v>0.7</v>
      </c>
      <c r="J80" s="9">
        <f t="shared" si="4"/>
        <v>191</v>
      </c>
      <c r="K80" s="11">
        <f t="shared" si="5"/>
        <v>0.47749999999999998</v>
      </c>
      <c r="L80" s="9" t="str">
        <f t="shared" si="6"/>
        <v>PASS</v>
      </c>
      <c r="M80" s="9" t="str">
        <f t="shared" si="7"/>
        <v>NOT ELIGIBLE</v>
      </c>
      <c r="N80" s="9" t="str" cm="1">
        <f t="array" ref="N80">_xlfn.IFS(I80&gt;=95%,"EXCELLENT",I80&gt;=85%,"VERY GOOD",I80&gt;=75%,"GOOD",I80&gt;=65%,"IMPROVEMENT",I80&gt;=40%,"POOR",I80&gt;=0%,"WORST")</f>
        <v>IMPROVEMENT</v>
      </c>
      <c r="P80" t="str">
        <v>S091</v>
      </c>
      <c r="Q80" t="str">
        <v>Kabir Nair</v>
      </c>
      <c r="R80" t="str">
        <v>10C</v>
      </c>
      <c r="S80" t="str">
        <v>Male</v>
      </c>
      <c r="T80">
        <v>56</v>
      </c>
      <c r="U80">
        <v>62</v>
      </c>
      <c r="V80">
        <v>58</v>
      </c>
      <c r="W80">
        <v>65</v>
      </c>
      <c r="X80">
        <v>0.77</v>
      </c>
      <c r="Y80">
        <v>241</v>
      </c>
      <c r="Z80">
        <v>0.60250000000000004</v>
      </c>
      <c r="AA80" t="str">
        <v>PASS</v>
      </c>
      <c r="AB80" t="str">
        <v>ELIGIBLE</v>
      </c>
      <c r="AC80" t="str">
        <v>GOOD</v>
      </c>
    </row>
    <row r="81" spans="1:29" ht="20.25" customHeight="1">
      <c r="A81" s="9" t="s">
        <v>172</v>
      </c>
      <c r="B81" s="9" t="s">
        <v>173</v>
      </c>
      <c r="C81" s="9" t="s">
        <v>18</v>
      </c>
      <c r="D81" s="9" t="s">
        <v>15</v>
      </c>
      <c r="E81" s="9">
        <v>90</v>
      </c>
      <c r="F81" s="9">
        <v>87</v>
      </c>
      <c r="G81" s="9">
        <v>93</v>
      </c>
      <c r="H81" s="9">
        <v>96</v>
      </c>
      <c r="I81" s="11">
        <v>0.98</v>
      </c>
      <c r="J81" s="9">
        <f t="shared" si="4"/>
        <v>366</v>
      </c>
      <c r="K81" s="11">
        <f t="shared" si="5"/>
        <v>0.91500000000000004</v>
      </c>
      <c r="L81" s="9" t="str">
        <f t="shared" si="6"/>
        <v>PASS</v>
      </c>
      <c r="M81" s="9" t="str">
        <f t="shared" si="7"/>
        <v>ELIGIBLE</v>
      </c>
      <c r="N81" s="9" t="str" cm="1">
        <f t="array" ref="N81">_xlfn.IFS(I81&gt;=95%,"EXCELLENT",I81&gt;=85%,"VERY GOOD",I81&gt;=75%,"GOOD",I81&gt;=65%,"IMPROVEMENT",I81&gt;=40%,"POOR",I81&gt;=0%,"WORST")</f>
        <v>EXCELLENT</v>
      </c>
      <c r="P81" t="str">
        <v>S075</v>
      </c>
      <c r="Q81" t="str">
        <v>Arnav Desai</v>
      </c>
      <c r="R81" t="str">
        <v>10A</v>
      </c>
      <c r="S81" t="str">
        <v>Male</v>
      </c>
      <c r="T81">
        <v>58</v>
      </c>
      <c r="U81">
        <v>54</v>
      </c>
      <c r="V81">
        <v>60</v>
      </c>
      <c r="W81">
        <v>67</v>
      </c>
      <c r="X81">
        <v>0.78</v>
      </c>
      <c r="Y81">
        <v>239</v>
      </c>
      <c r="Z81">
        <v>0.59750000000000003</v>
      </c>
      <c r="AA81" t="str">
        <v>PASS</v>
      </c>
      <c r="AB81" t="str">
        <v>ELIGIBLE</v>
      </c>
      <c r="AC81" t="str">
        <v>GOOD</v>
      </c>
    </row>
    <row r="82" spans="1:29" ht="20.25" customHeight="1">
      <c r="A82" s="9" t="s">
        <v>174</v>
      </c>
      <c r="B82" s="9" t="s">
        <v>175</v>
      </c>
      <c r="C82" s="9" t="s">
        <v>11</v>
      </c>
      <c r="D82" s="9" t="s">
        <v>12</v>
      </c>
      <c r="E82" s="9">
        <v>64</v>
      </c>
      <c r="F82" s="9">
        <v>69</v>
      </c>
      <c r="G82" s="9">
        <v>66</v>
      </c>
      <c r="H82" s="9">
        <v>72</v>
      </c>
      <c r="I82" s="11">
        <v>0.82</v>
      </c>
      <c r="J82" s="9">
        <f t="shared" si="4"/>
        <v>271</v>
      </c>
      <c r="K82" s="11">
        <f t="shared" si="5"/>
        <v>0.67749999999999999</v>
      </c>
      <c r="L82" s="9" t="str">
        <f t="shared" si="6"/>
        <v>PASS</v>
      </c>
      <c r="M82" s="9" t="str">
        <f t="shared" si="7"/>
        <v>ELIGIBLE</v>
      </c>
      <c r="N82" s="9" t="str" cm="1">
        <f t="array" ref="N82">_xlfn.IFS(I82&gt;=95%,"EXCELLENT",I82&gt;=85%,"VERY GOOD",I82&gt;=75%,"GOOD",I82&gt;=65%,"IMPROVEMENT",I82&gt;=40%,"POOR",I82&gt;=0%,"WORST")</f>
        <v>GOOD</v>
      </c>
      <c r="P82" t="str">
        <v>S059</v>
      </c>
      <c r="Q82" t="str">
        <v>Advik Patel</v>
      </c>
      <c r="R82" t="str">
        <v>10B</v>
      </c>
      <c r="S82" t="str">
        <v>Male</v>
      </c>
      <c r="T82">
        <v>55</v>
      </c>
      <c r="U82">
        <v>60</v>
      </c>
      <c r="V82">
        <v>53</v>
      </c>
      <c r="W82">
        <v>64</v>
      </c>
      <c r="X82">
        <v>0.76</v>
      </c>
      <c r="Y82">
        <v>232</v>
      </c>
      <c r="Z82">
        <v>0.57999999999999996</v>
      </c>
      <c r="AA82" t="str">
        <v>PASS</v>
      </c>
      <c r="AB82" t="str">
        <v>ELIGIBLE</v>
      </c>
      <c r="AC82" t="str">
        <v>GOOD</v>
      </c>
    </row>
    <row r="83" spans="1:29" ht="20.25" customHeight="1">
      <c r="A83" s="9" t="s">
        <v>176</v>
      </c>
      <c r="B83" s="9" t="s">
        <v>177</v>
      </c>
      <c r="C83" s="9" t="s">
        <v>21</v>
      </c>
      <c r="D83" s="9" t="s">
        <v>15</v>
      </c>
      <c r="E83" s="9">
        <v>83</v>
      </c>
      <c r="F83" s="9">
        <v>79</v>
      </c>
      <c r="G83" s="9">
        <v>87</v>
      </c>
      <c r="H83" s="9">
        <v>89</v>
      </c>
      <c r="I83" s="11">
        <v>0.93</v>
      </c>
      <c r="J83" s="9">
        <f t="shared" si="4"/>
        <v>338</v>
      </c>
      <c r="K83" s="11">
        <f t="shared" si="5"/>
        <v>0.84499999999999997</v>
      </c>
      <c r="L83" s="9" t="str">
        <f t="shared" si="6"/>
        <v>PASS</v>
      </c>
      <c r="M83" s="9" t="str">
        <f t="shared" si="7"/>
        <v>ELIGIBLE</v>
      </c>
      <c r="N83" s="9" t="str" cm="1">
        <f t="array" ref="N83">_xlfn.IFS(I83&gt;=95%,"EXCELLENT",I83&gt;=85%,"VERY GOOD",I83&gt;=75%,"GOOD",I83&gt;=65%,"IMPROVEMENT",I83&gt;=40%,"POOR",I83&gt;=0%,"WORST")</f>
        <v>VERY GOOD</v>
      </c>
      <c r="P83" t="str">
        <v>S083</v>
      </c>
      <c r="Q83" t="str">
        <v>Kartik Patel</v>
      </c>
      <c r="R83" t="str">
        <v>10B</v>
      </c>
      <c r="S83" t="str">
        <v>Male</v>
      </c>
      <c r="T83">
        <v>51</v>
      </c>
      <c r="U83">
        <v>56</v>
      </c>
      <c r="V83">
        <v>54</v>
      </c>
      <c r="W83">
        <v>63</v>
      </c>
      <c r="X83">
        <v>0.76</v>
      </c>
      <c r="Y83">
        <v>224</v>
      </c>
      <c r="Z83">
        <v>0.56000000000000005</v>
      </c>
      <c r="AA83" t="str">
        <v>PASS</v>
      </c>
      <c r="AB83" t="str">
        <v>ELIGIBLE</v>
      </c>
      <c r="AC83" t="str">
        <v>GOOD</v>
      </c>
    </row>
    <row r="84" spans="1:29" ht="20.25" customHeight="1">
      <c r="A84" s="9" t="s">
        <v>178</v>
      </c>
      <c r="B84" s="9" t="s">
        <v>179</v>
      </c>
      <c r="C84" s="9" t="s">
        <v>18</v>
      </c>
      <c r="D84" s="9" t="s">
        <v>12</v>
      </c>
      <c r="E84" s="9">
        <v>51</v>
      </c>
      <c r="F84" s="9">
        <v>56</v>
      </c>
      <c r="G84" s="9">
        <v>54</v>
      </c>
      <c r="H84" s="9">
        <v>63</v>
      </c>
      <c r="I84" s="11">
        <v>0.76</v>
      </c>
      <c r="J84" s="9">
        <f t="shared" si="4"/>
        <v>224</v>
      </c>
      <c r="K84" s="11">
        <f t="shared" si="5"/>
        <v>0.56000000000000005</v>
      </c>
      <c r="L84" s="9" t="str">
        <f t="shared" si="6"/>
        <v>PASS</v>
      </c>
      <c r="M84" s="9" t="str">
        <f t="shared" si="7"/>
        <v>ELIGIBLE</v>
      </c>
      <c r="N84" s="9" t="str" cm="1">
        <f t="array" ref="N84">_xlfn.IFS(I84&gt;=95%,"EXCELLENT",I84&gt;=85%,"VERY GOOD",I84&gt;=75%,"GOOD",I84&gt;=65%,"IMPROVEMENT",I84&gt;=40%,"POOR",I84&gt;=0%,"WORST")</f>
        <v>GOOD</v>
      </c>
      <c r="P84" t="str">
        <v>S017</v>
      </c>
      <c r="Q84" t="str">
        <v>Advait Bansal</v>
      </c>
      <c r="R84" t="str">
        <v>10B</v>
      </c>
      <c r="S84" t="str">
        <v>Male</v>
      </c>
      <c r="T84">
        <v>54</v>
      </c>
      <c r="U84">
        <v>49</v>
      </c>
      <c r="V84">
        <v>57</v>
      </c>
      <c r="W84">
        <v>63</v>
      </c>
      <c r="X84">
        <v>0.76</v>
      </c>
      <c r="Y84">
        <v>223</v>
      </c>
      <c r="Z84">
        <v>0.5575</v>
      </c>
      <c r="AA84" t="str">
        <v>PASS</v>
      </c>
      <c r="AB84" t="str">
        <v>ELIGIBLE</v>
      </c>
      <c r="AC84" t="str">
        <v>GOOD</v>
      </c>
    </row>
    <row r="85" spans="1:29" ht="20.25" customHeight="1">
      <c r="A85" s="9" t="s">
        <v>180</v>
      </c>
      <c r="B85" s="9" t="s">
        <v>181</v>
      </c>
      <c r="C85" s="9" t="s">
        <v>11</v>
      </c>
      <c r="D85" s="9" t="s">
        <v>15</v>
      </c>
      <c r="E85" s="9">
        <v>96</v>
      </c>
      <c r="F85" s="9">
        <v>94</v>
      </c>
      <c r="G85" s="9">
        <v>97</v>
      </c>
      <c r="H85" s="9">
        <v>98</v>
      </c>
      <c r="I85" s="11">
        <v>1</v>
      </c>
      <c r="J85" s="9">
        <f t="shared" si="4"/>
        <v>385</v>
      </c>
      <c r="K85" s="11">
        <f t="shared" si="5"/>
        <v>0.96250000000000002</v>
      </c>
      <c r="L85" s="9" t="str">
        <f t="shared" si="6"/>
        <v>PASS</v>
      </c>
      <c r="M85" s="9" t="str">
        <f t="shared" si="7"/>
        <v>ELIGIBLE</v>
      </c>
      <c r="N85" s="9" t="str" cm="1">
        <f t="array" ref="N85">_xlfn.IFS(I85&gt;=95%,"EXCELLENT",I85&gt;=85%,"VERY GOOD",I85&gt;=75%,"GOOD",I85&gt;=65%,"IMPROVEMENT",I85&gt;=40%,"POOR",I85&gt;=0%,"WORST")</f>
        <v>EXCELLENT</v>
      </c>
      <c r="P85" t="str">
        <v>S067</v>
      </c>
      <c r="Q85" t="str">
        <v>Arhaan Jain</v>
      </c>
      <c r="R85" t="str">
        <v>10C</v>
      </c>
      <c r="S85" t="str">
        <v>Male</v>
      </c>
      <c r="T85">
        <v>53</v>
      </c>
      <c r="U85">
        <v>57</v>
      </c>
      <c r="V85">
        <v>50</v>
      </c>
      <c r="W85">
        <v>61</v>
      </c>
      <c r="X85">
        <v>0.75</v>
      </c>
      <c r="Y85">
        <v>221</v>
      </c>
      <c r="Z85">
        <v>0.55249999999999999</v>
      </c>
      <c r="AA85" t="str">
        <v>PASS</v>
      </c>
      <c r="AB85" t="str">
        <v>ELIGIBLE</v>
      </c>
      <c r="AC85" t="str">
        <v>GOOD</v>
      </c>
    </row>
    <row r="86" spans="1:29" ht="20.25" customHeight="1">
      <c r="A86" s="9" t="s">
        <v>182</v>
      </c>
      <c r="B86" s="9" t="s">
        <v>183</v>
      </c>
      <c r="C86" s="9" t="s">
        <v>21</v>
      </c>
      <c r="D86" s="9" t="s">
        <v>12</v>
      </c>
      <c r="E86" s="9">
        <v>72</v>
      </c>
      <c r="F86" s="9">
        <v>77</v>
      </c>
      <c r="G86" s="9">
        <v>70</v>
      </c>
      <c r="H86" s="9">
        <v>81</v>
      </c>
      <c r="I86" s="11">
        <v>0.88</v>
      </c>
      <c r="J86" s="9">
        <f t="shared" si="4"/>
        <v>300</v>
      </c>
      <c r="K86" s="11">
        <f t="shared" si="5"/>
        <v>0.75</v>
      </c>
      <c r="L86" s="9" t="str">
        <f t="shared" si="6"/>
        <v>PASS</v>
      </c>
      <c r="M86" s="9" t="str">
        <f t="shared" si="7"/>
        <v>ELIGIBLE</v>
      </c>
      <c r="N86" s="9" t="str" cm="1">
        <f t="array" ref="N86">_xlfn.IFS(I86&gt;=95%,"EXCELLENT",I86&gt;=85%,"VERY GOOD",I86&gt;=75%,"GOOD",I86&gt;=65%,"IMPROVEMENT",I86&gt;=40%,"POOR",I86&gt;=0%,"WORST")</f>
        <v>VERY GOOD</v>
      </c>
      <c r="P86" t="str">
        <v>S029</v>
      </c>
      <c r="Q86" t="str">
        <v>Harsh Vora</v>
      </c>
      <c r="R86" t="str">
        <v>10B</v>
      </c>
      <c r="S86" t="str">
        <v>Male</v>
      </c>
      <c r="T86">
        <v>49</v>
      </c>
      <c r="U86">
        <v>58</v>
      </c>
      <c r="V86">
        <v>52</v>
      </c>
      <c r="W86">
        <v>60</v>
      </c>
      <c r="X86">
        <v>0.75</v>
      </c>
      <c r="Y86">
        <v>219</v>
      </c>
      <c r="Z86">
        <v>0.54749999999999999</v>
      </c>
      <c r="AA86" t="str">
        <v>PASS</v>
      </c>
      <c r="AB86" t="str">
        <v>ELIGIBLE</v>
      </c>
      <c r="AC86" t="str">
        <v>GOOD</v>
      </c>
    </row>
    <row r="87" spans="1:29" ht="20.25" customHeight="1">
      <c r="A87" s="9" t="s">
        <v>184</v>
      </c>
      <c r="B87" s="9" t="s">
        <v>185</v>
      </c>
      <c r="C87" s="9" t="s">
        <v>18</v>
      </c>
      <c r="D87" s="9" t="s">
        <v>15</v>
      </c>
      <c r="E87" s="9">
        <v>79</v>
      </c>
      <c r="F87" s="9">
        <v>85</v>
      </c>
      <c r="G87" s="9">
        <v>82</v>
      </c>
      <c r="H87" s="9">
        <v>86</v>
      </c>
      <c r="I87" s="11">
        <v>0.92</v>
      </c>
      <c r="J87" s="9">
        <f t="shared" si="4"/>
        <v>332</v>
      </c>
      <c r="K87" s="11">
        <f t="shared" si="5"/>
        <v>0.83</v>
      </c>
      <c r="L87" s="9" t="str">
        <f t="shared" si="6"/>
        <v>PASS</v>
      </c>
      <c r="M87" s="9" t="str">
        <f t="shared" si="7"/>
        <v>ELIGIBLE</v>
      </c>
      <c r="N87" s="9" t="str" cm="1">
        <f t="array" ref="N87">_xlfn.IFS(I87&gt;=95%,"EXCELLENT",I87&gt;=85%,"VERY GOOD",I87&gt;=75%,"GOOD",I87&gt;=65%,"IMPROVEMENT",I87&gt;=40%,"POOR",I87&gt;=0%,"WORST")</f>
        <v>VERY GOOD</v>
      </c>
      <c r="P87" t="str">
        <v>S033</v>
      </c>
      <c r="Q87" t="str">
        <v>Atharv Rao</v>
      </c>
      <c r="R87" t="str">
        <v>10A</v>
      </c>
      <c r="S87" t="str">
        <v>Male</v>
      </c>
      <c r="T87">
        <v>52</v>
      </c>
      <c r="U87">
        <v>47</v>
      </c>
      <c r="V87">
        <v>54</v>
      </c>
      <c r="W87">
        <v>62</v>
      </c>
      <c r="X87">
        <v>0.77</v>
      </c>
      <c r="Y87">
        <v>215</v>
      </c>
      <c r="Z87">
        <v>0.53749999999999998</v>
      </c>
      <c r="AA87" t="str">
        <v>PASS</v>
      </c>
      <c r="AB87" t="str">
        <v>ELIGIBLE</v>
      </c>
      <c r="AC87" t="str">
        <v>GOOD</v>
      </c>
    </row>
    <row r="88" spans="1:29" ht="20.25" customHeight="1">
      <c r="A88" s="9" t="s">
        <v>186</v>
      </c>
      <c r="B88" s="9" t="s">
        <v>187</v>
      </c>
      <c r="C88" s="9" t="s">
        <v>11</v>
      </c>
      <c r="D88" s="9" t="s">
        <v>12</v>
      </c>
      <c r="E88" s="9">
        <v>46</v>
      </c>
      <c r="F88" s="9">
        <v>52</v>
      </c>
      <c r="G88" s="9">
        <v>48</v>
      </c>
      <c r="H88" s="9">
        <v>57</v>
      </c>
      <c r="I88" s="11">
        <v>0.73</v>
      </c>
      <c r="J88" s="9">
        <f t="shared" si="4"/>
        <v>203</v>
      </c>
      <c r="K88" s="11">
        <f t="shared" si="5"/>
        <v>0.50749999999999995</v>
      </c>
      <c r="L88" s="9" t="str">
        <f t="shared" si="6"/>
        <v>PASS</v>
      </c>
      <c r="M88" s="9" t="str">
        <f t="shared" si="7"/>
        <v>NOT ELIGIBLE</v>
      </c>
      <c r="N88" s="9" t="str" cm="1">
        <f t="array" ref="N88">_xlfn.IFS(I88&gt;=95%,"EXCELLENT",I88&gt;=85%,"VERY GOOD",I88&gt;=75%,"GOOD",I88&gt;=65%,"IMPROVEMENT",I88&gt;=40%,"POOR",I88&gt;=0%,"WORST")</f>
        <v>IMPROVEMENT</v>
      </c>
      <c r="P88" t="str">
        <v>S055</v>
      </c>
      <c r="Q88" t="str">
        <v>Aryan Desai</v>
      </c>
      <c r="R88" t="str">
        <v>10C</v>
      </c>
      <c r="S88" t="str">
        <v>Male</v>
      </c>
      <c r="T88">
        <v>48</v>
      </c>
      <c r="U88">
        <v>55</v>
      </c>
      <c r="V88">
        <v>51</v>
      </c>
      <c r="W88">
        <v>59</v>
      </c>
      <c r="X88">
        <v>0.74</v>
      </c>
      <c r="Y88">
        <v>213</v>
      </c>
      <c r="Z88">
        <v>0.53249999999999997</v>
      </c>
      <c r="AA88" t="str">
        <v>PASS</v>
      </c>
      <c r="AB88" t="str">
        <v>NOT ELIGIBLE</v>
      </c>
      <c r="AC88" t="str">
        <v>IMPROVEMENT</v>
      </c>
    </row>
    <row r="89" spans="1:29" ht="20.25" customHeight="1">
      <c r="A89" s="9" t="s">
        <v>188</v>
      </c>
      <c r="B89" s="9" t="s">
        <v>189</v>
      </c>
      <c r="C89" s="9" t="s">
        <v>21</v>
      </c>
      <c r="D89" s="9" t="s">
        <v>15</v>
      </c>
      <c r="E89" s="9">
        <v>87</v>
      </c>
      <c r="F89" s="9">
        <v>91</v>
      </c>
      <c r="G89" s="9">
        <v>89</v>
      </c>
      <c r="H89" s="9">
        <v>94</v>
      </c>
      <c r="I89" s="11">
        <v>0.97</v>
      </c>
      <c r="J89" s="9">
        <f t="shared" si="4"/>
        <v>361</v>
      </c>
      <c r="K89" s="11">
        <f t="shared" si="5"/>
        <v>0.90249999999999997</v>
      </c>
      <c r="L89" s="9" t="str">
        <f t="shared" si="6"/>
        <v>PASS</v>
      </c>
      <c r="M89" s="9" t="str">
        <f t="shared" si="7"/>
        <v>ELIGIBLE</v>
      </c>
      <c r="N89" s="9" t="str" cm="1">
        <f t="array" ref="N89">_xlfn.IFS(I89&gt;=95%,"EXCELLENT",I89&gt;=85%,"VERY GOOD",I89&gt;=75%,"GOOD",I89&gt;=65%,"IMPROVEMENT",I89&gt;=40%,"POOR",I89&gt;=0%,"WORST")</f>
        <v>EXCELLENT</v>
      </c>
      <c r="P89" t="str">
        <v>S003</v>
      </c>
      <c r="Q89" t="str">
        <v>Kabir Mehta</v>
      </c>
      <c r="R89" t="str">
        <v>10B</v>
      </c>
      <c r="S89" t="str">
        <v>Male</v>
      </c>
      <c r="T89">
        <v>42</v>
      </c>
      <c r="U89">
        <v>55</v>
      </c>
      <c r="V89">
        <v>48</v>
      </c>
      <c r="W89">
        <v>61</v>
      </c>
      <c r="X89">
        <v>0.74</v>
      </c>
      <c r="Y89">
        <v>206</v>
      </c>
      <c r="Z89">
        <v>0.51500000000000001</v>
      </c>
      <c r="AA89" t="str">
        <v>PASS</v>
      </c>
      <c r="AB89" t="str">
        <v>NOT ELIGIBLE</v>
      </c>
      <c r="AC89" t="str">
        <v>IMPROVEMENT</v>
      </c>
    </row>
    <row r="90" spans="1:29" ht="20.25" customHeight="1">
      <c r="A90" s="9" t="s">
        <v>190</v>
      </c>
      <c r="B90" s="9" t="s">
        <v>191</v>
      </c>
      <c r="C90" s="9" t="s">
        <v>18</v>
      </c>
      <c r="D90" s="9" t="s">
        <v>12</v>
      </c>
      <c r="E90" s="9">
        <v>61</v>
      </c>
      <c r="F90" s="9">
        <v>66</v>
      </c>
      <c r="G90" s="9">
        <v>63</v>
      </c>
      <c r="H90" s="9">
        <v>71</v>
      </c>
      <c r="I90" s="11">
        <v>0.8</v>
      </c>
      <c r="J90" s="9">
        <f t="shared" si="4"/>
        <v>261</v>
      </c>
      <c r="K90" s="11">
        <f t="shared" si="5"/>
        <v>0.65249999999999997</v>
      </c>
      <c r="L90" s="9" t="str">
        <f t="shared" si="6"/>
        <v>PASS</v>
      </c>
      <c r="M90" s="9" t="str">
        <f t="shared" si="7"/>
        <v>ELIGIBLE</v>
      </c>
      <c r="N90" s="9" t="str" cm="1">
        <f t="array" ref="N90">_xlfn.IFS(I90&gt;=95%,"EXCELLENT",I90&gt;=85%,"VERY GOOD",I90&gt;=75%,"GOOD",I90&gt;=65%,"IMPROVEMENT",I90&gt;=40%,"POOR",I90&gt;=0%,"WORST")</f>
        <v>GOOD</v>
      </c>
      <c r="P90" t="str">
        <v>S043</v>
      </c>
      <c r="Q90" t="str">
        <v>Ansh Choudhary</v>
      </c>
      <c r="R90" t="str">
        <v>10C</v>
      </c>
      <c r="S90" t="str">
        <v>Male</v>
      </c>
      <c r="T90">
        <v>46</v>
      </c>
      <c r="U90">
        <v>53</v>
      </c>
      <c r="V90">
        <v>49</v>
      </c>
      <c r="W90">
        <v>57</v>
      </c>
      <c r="X90">
        <v>0.7</v>
      </c>
      <c r="Y90">
        <v>205</v>
      </c>
      <c r="Z90">
        <v>0.51249999999999996</v>
      </c>
      <c r="AA90" t="str">
        <v>PASS</v>
      </c>
      <c r="AB90" t="str">
        <v>NOT ELIGIBLE</v>
      </c>
      <c r="AC90" t="str">
        <v>IMPROVEMENT</v>
      </c>
    </row>
    <row r="91" spans="1:29" ht="20.25" customHeight="1">
      <c r="A91" s="9" t="s">
        <v>192</v>
      </c>
      <c r="B91" s="9" t="s">
        <v>193</v>
      </c>
      <c r="C91" s="9" t="s">
        <v>11</v>
      </c>
      <c r="D91" s="9" t="s">
        <v>15</v>
      </c>
      <c r="E91" s="9">
        <v>93</v>
      </c>
      <c r="F91" s="9">
        <v>95</v>
      </c>
      <c r="G91" s="9">
        <v>92</v>
      </c>
      <c r="H91" s="9">
        <v>97</v>
      </c>
      <c r="I91" s="11">
        <v>0.99</v>
      </c>
      <c r="J91" s="9">
        <f t="shared" si="4"/>
        <v>377</v>
      </c>
      <c r="K91" s="11">
        <f t="shared" si="5"/>
        <v>0.9425</v>
      </c>
      <c r="L91" s="9" t="str">
        <f t="shared" si="6"/>
        <v>PASS</v>
      </c>
      <c r="M91" s="9" t="str">
        <f t="shared" si="7"/>
        <v>ELIGIBLE</v>
      </c>
      <c r="N91" s="9" t="str" cm="1">
        <f t="array" ref="N91">_xlfn.IFS(I91&gt;=95%,"EXCELLENT",I91&gt;=85%,"VERY GOOD",I91&gt;=75%,"GOOD",I91&gt;=65%,"IMPROVEMENT",I91&gt;=40%,"POOR",I91&gt;=0%,"WORST")</f>
        <v>EXCELLENT</v>
      </c>
      <c r="P91" t="str">
        <v>S087</v>
      </c>
      <c r="Q91" t="str">
        <v>Arjun Desai</v>
      </c>
      <c r="R91" t="str">
        <v>10A</v>
      </c>
      <c r="S91" t="str">
        <v>Male</v>
      </c>
      <c r="T91">
        <v>46</v>
      </c>
      <c r="U91">
        <v>52</v>
      </c>
      <c r="V91">
        <v>48</v>
      </c>
      <c r="W91">
        <v>57</v>
      </c>
      <c r="X91">
        <v>0.73</v>
      </c>
      <c r="Y91">
        <v>203</v>
      </c>
      <c r="Z91">
        <v>0.50749999999999995</v>
      </c>
      <c r="AA91" t="str">
        <v>PASS</v>
      </c>
      <c r="AB91" t="str">
        <v>NOT ELIGIBLE</v>
      </c>
      <c r="AC91" t="str">
        <v>IMPROVEMENT</v>
      </c>
    </row>
    <row r="92" spans="1:29" ht="20.25" customHeight="1">
      <c r="A92" s="9" t="s">
        <v>194</v>
      </c>
      <c r="B92" s="9" t="s">
        <v>195</v>
      </c>
      <c r="C92" s="9" t="s">
        <v>21</v>
      </c>
      <c r="D92" s="9" t="s">
        <v>12</v>
      </c>
      <c r="E92" s="9">
        <v>56</v>
      </c>
      <c r="F92" s="9">
        <v>62</v>
      </c>
      <c r="G92" s="9">
        <v>58</v>
      </c>
      <c r="H92" s="9">
        <v>65</v>
      </c>
      <c r="I92" s="11">
        <v>0.77</v>
      </c>
      <c r="J92" s="9">
        <f t="shared" si="4"/>
        <v>241</v>
      </c>
      <c r="K92" s="11">
        <f t="shared" si="5"/>
        <v>0.60250000000000004</v>
      </c>
      <c r="L92" s="9" t="str">
        <f t="shared" si="6"/>
        <v>PASS</v>
      </c>
      <c r="M92" s="9" t="str">
        <f t="shared" si="7"/>
        <v>ELIGIBLE</v>
      </c>
      <c r="N92" s="9" t="str" cm="1">
        <f t="array" ref="N92">_xlfn.IFS(I92&gt;=95%,"EXCELLENT",I92&gt;=85%,"VERY GOOD",I92&gt;=75%,"GOOD",I92&gt;=65%,"IMPROVEMENT",I92&gt;=40%,"POOR",I92&gt;=0%,"WORST")</f>
        <v>GOOD</v>
      </c>
      <c r="P92" t="str">
        <v>S013</v>
      </c>
      <c r="Q92" t="str">
        <v>Reyansh Kapoor</v>
      </c>
      <c r="R92" t="str">
        <v>10C</v>
      </c>
      <c r="S92" t="str">
        <v>Male</v>
      </c>
      <c r="T92">
        <v>47</v>
      </c>
      <c r="U92">
        <v>52</v>
      </c>
      <c r="V92">
        <v>44</v>
      </c>
      <c r="W92">
        <v>58</v>
      </c>
      <c r="X92">
        <v>0.72</v>
      </c>
      <c r="Y92">
        <v>201</v>
      </c>
      <c r="Z92">
        <v>0.50249999999999995</v>
      </c>
      <c r="AA92" t="str">
        <v>PASS</v>
      </c>
      <c r="AB92" t="str">
        <v>NOT ELIGIBLE</v>
      </c>
      <c r="AC92" t="str">
        <v>IMPROVEMENT</v>
      </c>
    </row>
    <row r="93" spans="1:29" ht="20.25" customHeight="1">
      <c r="A93" s="9" t="s">
        <v>196</v>
      </c>
      <c r="B93" s="9" t="s">
        <v>197</v>
      </c>
      <c r="C93" s="9" t="s">
        <v>18</v>
      </c>
      <c r="D93" s="9" t="s">
        <v>15</v>
      </c>
      <c r="E93" s="9">
        <v>82</v>
      </c>
      <c r="F93" s="9">
        <v>80</v>
      </c>
      <c r="G93" s="9">
        <v>85</v>
      </c>
      <c r="H93" s="9">
        <v>88</v>
      </c>
      <c r="I93" s="11">
        <v>0.94</v>
      </c>
      <c r="J93" s="9">
        <f t="shared" si="4"/>
        <v>335</v>
      </c>
      <c r="K93" s="11">
        <f t="shared" si="5"/>
        <v>0.83750000000000002</v>
      </c>
      <c r="L93" s="9" t="str">
        <f t="shared" si="6"/>
        <v>PASS</v>
      </c>
      <c r="M93" s="9" t="str">
        <f t="shared" si="7"/>
        <v>ELIGIBLE</v>
      </c>
      <c r="N93" s="9" t="str" cm="1">
        <f t="array" ref="N93">_xlfn.IFS(I93&gt;=95%,"EXCELLENT",I93&gt;=85%,"VERY GOOD",I93&gt;=75%,"GOOD",I93&gt;=65%,"IMPROVEMENT",I93&gt;=40%,"POOR",I93&gt;=0%,"WORST")</f>
        <v>VERY GOOD</v>
      </c>
      <c r="P93" t="str">
        <v>S063</v>
      </c>
      <c r="Q93" t="str">
        <v>Kian Gupta</v>
      </c>
      <c r="R93" t="str">
        <v>10A</v>
      </c>
      <c r="S93" t="str">
        <v>Male</v>
      </c>
      <c r="T93">
        <v>45</v>
      </c>
      <c r="U93">
        <v>50</v>
      </c>
      <c r="V93">
        <v>47</v>
      </c>
      <c r="W93">
        <v>56</v>
      </c>
      <c r="X93">
        <v>0.72</v>
      </c>
      <c r="Y93">
        <v>198</v>
      </c>
      <c r="Z93">
        <v>0.495</v>
      </c>
      <c r="AA93" t="str">
        <v>PASS</v>
      </c>
      <c r="AB93" t="str">
        <v>NOT ELIGIBLE</v>
      </c>
      <c r="AC93" t="str">
        <v>IMPROVEMENT</v>
      </c>
    </row>
    <row r="94" spans="1:29" ht="20.25" customHeight="1">
      <c r="A94" s="9" t="s">
        <v>198</v>
      </c>
      <c r="B94" s="9" t="s">
        <v>199</v>
      </c>
      <c r="C94" s="9" t="s">
        <v>11</v>
      </c>
      <c r="D94" s="9" t="s">
        <v>12</v>
      </c>
      <c r="E94" s="9">
        <v>69</v>
      </c>
      <c r="F94" s="9">
        <v>73</v>
      </c>
      <c r="G94" s="9">
        <v>67</v>
      </c>
      <c r="H94" s="9">
        <v>76</v>
      </c>
      <c r="I94" s="11">
        <v>0.84</v>
      </c>
      <c r="J94" s="9">
        <f t="shared" si="4"/>
        <v>285</v>
      </c>
      <c r="K94" s="11">
        <f t="shared" si="5"/>
        <v>0.71250000000000002</v>
      </c>
      <c r="L94" s="9" t="str">
        <f t="shared" si="6"/>
        <v>PASS</v>
      </c>
      <c r="M94" s="9" t="str">
        <f t="shared" si="7"/>
        <v>ELIGIBLE</v>
      </c>
      <c r="N94" s="9" t="str" cm="1">
        <f t="array" ref="N94">_xlfn.IFS(I94&gt;=95%,"EXCELLENT",I94&gt;=85%,"VERY GOOD",I94&gt;=75%,"GOOD",I94&gt;=65%,"IMPROVEMENT",I94&gt;=40%,"POOR",I94&gt;=0%,"WORST")</f>
        <v>GOOD</v>
      </c>
      <c r="P94" t="str">
        <v>S025</v>
      </c>
      <c r="Q94" t="str">
        <v>Yash Thakur</v>
      </c>
      <c r="R94" t="str">
        <v>10C</v>
      </c>
      <c r="S94" t="str">
        <v>Male</v>
      </c>
      <c r="T94">
        <v>44</v>
      </c>
      <c r="U94">
        <v>51</v>
      </c>
      <c r="V94">
        <v>46</v>
      </c>
      <c r="W94">
        <v>55</v>
      </c>
      <c r="X94">
        <v>0.73</v>
      </c>
      <c r="Y94">
        <v>196</v>
      </c>
      <c r="Z94">
        <v>0.49</v>
      </c>
      <c r="AA94" t="str">
        <v>PASS</v>
      </c>
      <c r="AB94" t="str">
        <v>NOT ELIGIBLE</v>
      </c>
      <c r="AC94" t="str">
        <v>IMPROVEMENT</v>
      </c>
    </row>
    <row r="95" spans="1:29" ht="20.25" customHeight="1">
      <c r="A95" s="9" t="s">
        <v>200</v>
      </c>
      <c r="B95" s="9" t="s">
        <v>201</v>
      </c>
      <c r="C95" s="9" t="s">
        <v>21</v>
      </c>
      <c r="D95" s="9" t="s">
        <v>15</v>
      </c>
      <c r="E95" s="9">
        <v>91</v>
      </c>
      <c r="F95" s="9">
        <v>89</v>
      </c>
      <c r="G95" s="9">
        <v>94</v>
      </c>
      <c r="H95" s="9">
        <v>96</v>
      </c>
      <c r="I95" s="11">
        <v>0.98</v>
      </c>
      <c r="J95" s="9">
        <f t="shared" si="4"/>
        <v>370</v>
      </c>
      <c r="K95" s="11">
        <f t="shared" si="5"/>
        <v>0.92500000000000004</v>
      </c>
      <c r="L95" s="9" t="str">
        <f t="shared" si="6"/>
        <v>PASS</v>
      </c>
      <c r="M95" s="9" t="str">
        <f t="shared" si="7"/>
        <v>ELIGIBLE</v>
      </c>
      <c r="N95" s="9" t="str" cm="1">
        <f t="array" ref="N95">_xlfn.IFS(I95&gt;=95%,"EXCELLENT",I95&gt;=85%,"VERY GOOD",I95&gt;=75%,"GOOD",I95&gt;=65%,"IMPROVEMENT",I95&gt;=40%,"POOR",I95&gt;=0%,"WORST")</f>
        <v>EXCELLENT</v>
      </c>
      <c r="P95" t="str">
        <v>S079</v>
      </c>
      <c r="Q95" t="str">
        <v>Rudra Nair</v>
      </c>
      <c r="R95" t="str">
        <v>10C</v>
      </c>
      <c r="S95" t="str">
        <v>Male</v>
      </c>
      <c r="T95">
        <v>43</v>
      </c>
      <c r="U95">
        <v>49</v>
      </c>
      <c r="V95">
        <v>45</v>
      </c>
      <c r="W95">
        <v>54</v>
      </c>
      <c r="X95">
        <v>0.7</v>
      </c>
      <c r="Y95">
        <v>191</v>
      </c>
      <c r="Z95">
        <v>0.47749999999999998</v>
      </c>
      <c r="AA95" t="str">
        <v>PASS</v>
      </c>
      <c r="AB95" t="str">
        <v>NOT ELIGIBLE</v>
      </c>
      <c r="AC95" t="str">
        <v>IMPROVEMENT</v>
      </c>
    </row>
    <row r="96" spans="1:29" ht="20.25" customHeight="1">
      <c r="A96" s="9" t="s">
        <v>202</v>
      </c>
      <c r="B96" s="9" t="s">
        <v>203</v>
      </c>
      <c r="C96" s="9" t="s">
        <v>18</v>
      </c>
      <c r="D96" s="9" t="s">
        <v>12</v>
      </c>
      <c r="E96" s="9">
        <v>37</v>
      </c>
      <c r="F96" s="9">
        <v>44</v>
      </c>
      <c r="G96" s="9">
        <v>41</v>
      </c>
      <c r="H96" s="9">
        <v>50</v>
      </c>
      <c r="I96" s="11">
        <v>0.67</v>
      </c>
      <c r="J96" s="9">
        <f t="shared" si="4"/>
        <v>172</v>
      </c>
      <c r="K96" s="11">
        <f t="shared" si="5"/>
        <v>0.43</v>
      </c>
      <c r="L96" s="9" t="str">
        <f t="shared" si="6"/>
        <v>FAIL</v>
      </c>
      <c r="M96" s="9" t="str">
        <f t="shared" si="7"/>
        <v>NOT ELIGIBLE</v>
      </c>
      <c r="N96" s="9" t="str" cm="1">
        <f t="array" ref="N96">_xlfn.IFS(I96&gt;=95%,"EXCELLENT",I96&gt;=85%,"VERY GOOD",I96&gt;=75%,"GOOD",I96&gt;=65%,"IMPROVEMENT",I96&gt;=40%,"POOR",I96&gt;=0%,"WORST")</f>
        <v>IMPROVEMENT</v>
      </c>
      <c r="P96" t="str">
        <v>S037</v>
      </c>
      <c r="Q96" t="str">
        <v>Rudransh Gupta</v>
      </c>
      <c r="R96" t="str">
        <v>10C</v>
      </c>
      <c r="S96" t="str">
        <v>Male</v>
      </c>
      <c r="T96">
        <v>41</v>
      </c>
      <c r="U96">
        <v>48</v>
      </c>
      <c r="V96">
        <v>45</v>
      </c>
      <c r="W96">
        <v>53</v>
      </c>
      <c r="X96">
        <v>0.71</v>
      </c>
      <c r="Y96">
        <v>187</v>
      </c>
      <c r="Z96">
        <v>0.46750000000000003</v>
      </c>
      <c r="AA96" t="str">
        <v>PASS</v>
      </c>
      <c r="AB96" t="str">
        <v>NOT ELIGIBLE</v>
      </c>
      <c r="AC96" t="str">
        <v>IMPROVEMENT</v>
      </c>
    </row>
    <row r="97" spans="1:29" ht="20.25" customHeight="1">
      <c r="A97" s="9" t="s">
        <v>204</v>
      </c>
      <c r="B97" s="9" t="s">
        <v>205</v>
      </c>
      <c r="C97" s="9" t="s">
        <v>11</v>
      </c>
      <c r="D97" s="9" t="s">
        <v>15</v>
      </c>
      <c r="E97" s="9">
        <v>76</v>
      </c>
      <c r="F97" s="9">
        <v>83</v>
      </c>
      <c r="G97" s="9">
        <v>78</v>
      </c>
      <c r="H97" s="9">
        <v>85</v>
      </c>
      <c r="I97" s="11">
        <v>0.91</v>
      </c>
      <c r="J97" s="9">
        <f t="shared" si="4"/>
        <v>322</v>
      </c>
      <c r="K97" s="11">
        <f t="shared" si="5"/>
        <v>0.80500000000000005</v>
      </c>
      <c r="L97" s="9" t="str">
        <f t="shared" si="6"/>
        <v>PASS</v>
      </c>
      <c r="M97" s="9" t="str">
        <f t="shared" si="7"/>
        <v>ELIGIBLE</v>
      </c>
      <c r="N97" s="9" t="str" cm="1">
        <f t="array" ref="N97">_xlfn.IFS(I97&gt;=95%,"EXCELLENT",I97&gt;=85%,"VERY GOOD",I97&gt;=75%,"GOOD",I97&gt;=65%,"IMPROVEMENT",I97&gt;=40%,"POOR",I97&gt;=0%,"WORST")</f>
        <v>VERY GOOD</v>
      </c>
      <c r="P97" t="str">
        <v>S071</v>
      </c>
      <c r="Q97" t="str">
        <v>Rajveer Shah</v>
      </c>
      <c r="R97" t="str">
        <v>10B</v>
      </c>
      <c r="S97" t="str">
        <v>Male</v>
      </c>
      <c r="T97">
        <v>39</v>
      </c>
      <c r="U97">
        <v>46</v>
      </c>
      <c r="V97">
        <v>42</v>
      </c>
      <c r="W97">
        <v>51</v>
      </c>
      <c r="X97">
        <v>0.68</v>
      </c>
      <c r="Y97">
        <v>178</v>
      </c>
      <c r="Z97">
        <v>0.44500000000000001</v>
      </c>
      <c r="AA97" t="str">
        <v>FAIL</v>
      </c>
      <c r="AB97" t="str">
        <v>NOT ELIGIBLE</v>
      </c>
      <c r="AC97" t="str">
        <v>IMPROVEMENT</v>
      </c>
    </row>
    <row r="98" spans="1:29" ht="20.25" customHeight="1">
      <c r="A98" s="9" t="s">
        <v>206</v>
      </c>
      <c r="B98" s="9" t="s">
        <v>207</v>
      </c>
      <c r="C98" s="9" t="s">
        <v>21</v>
      </c>
      <c r="D98" s="9" t="s">
        <v>12</v>
      </c>
      <c r="E98" s="9">
        <v>88</v>
      </c>
      <c r="F98" s="9">
        <v>86</v>
      </c>
      <c r="G98" s="9">
        <v>90</v>
      </c>
      <c r="H98" s="9">
        <v>92</v>
      </c>
      <c r="I98" s="11">
        <v>0.96</v>
      </c>
      <c r="J98" s="9">
        <f t="shared" si="4"/>
        <v>356</v>
      </c>
      <c r="K98" s="11">
        <f t="shared" si="5"/>
        <v>0.89</v>
      </c>
      <c r="L98" s="9" t="str">
        <f t="shared" si="6"/>
        <v>PASS</v>
      </c>
      <c r="M98" s="9" t="str">
        <f t="shared" si="7"/>
        <v>ELIGIBLE</v>
      </c>
      <c r="N98" s="9" t="str" cm="1">
        <f t="array" ref="N98">_xlfn.IFS(I98&gt;=95%,"EXCELLENT",I98&gt;=85%,"VERY GOOD",I98&gt;=75%,"GOOD",I98&gt;=65%,"IMPROVEMENT",I98&gt;=40%,"POOR",I98&gt;=0%,"WORST")</f>
        <v>EXCELLENT</v>
      </c>
      <c r="P98" t="str">
        <v>S007</v>
      </c>
      <c r="Q98" t="str">
        <v>Rohan Gupta</v>
      </c>
      <c r="R98" t="str">
        <v>10C</v>
      </c>
      <c r="S98" t="str">
        <v>Male</v>
      </c>
      <c r="T98">
        <v>38</v>
      </c>
      <c r="U98">
        <v>45</v>
      </c>
      <c r="V98">
        <v>41</v>
      </c>
      <c r="W98">
        <v>52</v>
      </c>
      <c r="X98">
        <v>0.69</v>
      </c>
      <c r="Y98">
        <v>176</v>
      </c>
      <c r="Z98">
        <v>0.44</v>
      </c>
      <c r="AA98" t="str">
        <v>FAIL</v>
      </c>
      <c r="AB98" t="str">
        <v>NOT ELIGIBLE</v>
      </c>
      <c r="AC98" t="str">
        <v>IMPROVEMENT</v>
      </c>
    </row>
    <row r="99" spans="1:29" ht="20.25" customHeight="1">
      <c r="A99" s="9" t="s">
        <v>208</v>
      </c>
      <c r="B99" s="9" t="s">
        <v>209</v>
      </c>
      <c r="C99" s="9" t="s">
        <v>18</v>
      </c>
      <c r="D99" s="9" t="s">
        <v>15</v>
      </c>
      <c r="E99" s="9">
        <v>63</v>
      </c>
      <c r="F99" s="9">
        <v>70</v>
      </c>
      <c r="G99" s="9">
        <v>65</v>
      </c>
      <c r="H99" s="9">
        <v>73</v>
      </c>
      <c r="I99" s="11">
        <v>0.83</v>
      </c>
      <c r="J99" s="9">
        <f t="shared" si="4"/>
        <v>271</v>
      </c>
      <c r="K99" s="11">
        <f t="shared" si="5"/>
        <v>0.67749999999999999</v>
      </c>
      <c r="L99" s="9" t="str">
        <f t="shared" si="6"/>
        <v>PASS</v>
      </c>
      <c r="M99" s="9" t="str">
        <f t="shared" si="7"/>
        <v>ELIGIBLE</v>
      </c>
      <c r="N99" s="9" t="str" cm="1">
        <f t="array" ref="N99">_xlfn.IFS(I99&gt;=95%,"EXCELLENT",I99&gt;=85%,"VERY GOOD",I99&gt;=75%,"GOOD",I99&gt;=65%,"IMPROVEMENT",I99&gt;=40%,"POOR",I99&gt;=0%,"WORST")</f>
        <v>GOOD</v>
      </c>
      <c r="P99" t="str">
        <v>S095</v>
      </c>
      <c r="Q99" t="str">
        <v>Reyansh Shah</v>
      </c>
      <c r="R99" t="str">
        <v>10B</v>
      </c>
      <c r="S99" t="str">
        <v>Male</v>
      </c>
      <c r="T99">
        <v>37</v>
      </c>
      <c r="U99">
        <v>44</v>
      </c>
      <c r="V99">
        <v>41</v>
      </c>
      <c r="W99">
        <v>50</v>
      </c>
      <c r="X99">
        <v>0.67</v>
      </c>
      <c r="Y99">
        <v>172</v>
      </c>
      <c r="Z99">
        <v>0.43</v>
      </c>
      <c r="AA99" t="str">
        <v>FAIL</v>
      </c>
      <c r="AB99" t="str">
        <v>NOT ELIGIBLE</v>
      </c>
      <c r="AC99" t="str">
        <v>IMPROVEMENT</v>
      </c>
    </row>
    <row r="100" spans="1:29" ht="20.25" customHeight="1">
      <c r="A100" s="9" t="s">
        <v>210</v>
      </c>
      <c r="B100" s="9" t="s">
        <v>211</v>
      </c>
      <c r="C100" s="9" t="s">
        <v>11</v>
      </c>
      <c r="D100" s="9" t="s">
        <v>12</v>
      </c>
      <c r="E100" s="9">
        <v>80</v>
      </c>
      <c r="F100" s="9">
        <v>78</v>
      </c>
      <c r="G100" s="9">
        <v>84</v>
      </c>
      <c r="H100" s="9">
        <v>87</v>
      </c>
      <c r="I100" s="11">
        <v>0.9</v>
      </c>
      <c r="J100" s="9">
        <f t="shared" si="4"/>
        <v>329</v>
      </c>
      <c r="K100" s="11">
        <f t="shared" si="5"/>
        <v>0.82250000000000001</v>
      </c>
      <c r="L100" s="9" t="str">
        <f t="shared" si="6"/>
        <v>PASS</v>
      </c>
      <c r="M100" s="9" t="str">
        <f t="shared" si="7"/>
        <v>ELIGIBLE</v>
      </c>
      <c r="N100" s="9" t="str" cm="1">
        <f t="array" ref="N100">_xlfn.IFS(I100&gt;=95%,"EXCELLENT",I100&gt;=85%,"VERY GOOD",I100&gt;=75%,"GOOD",I100&gt;=65%,"IMPROVEMENT",I100&gt;=40%,"POOR",I100&gt;=0%,"WORST")</f>
        <v>VERY GOOD</v>
      </c>
      <c r="P100" t="str">
        <v>S019</v>
      </c>
      <c r="Q100" t="str">
        <v>Dhruv Mishra</v>
      </c>
      <c r="R100" t="str">
        <v>10C</v>
      </c>
      <c r="S100" t="str">
        <v>Male</v>
      </c>
      <c r="T100">
        <v>35</v>
      </c>
      <c r="U100">
        <v>42</v>
      </c>
      <c r="V100">
        <v>39</v>
      </c>
      <c r="W100">
        <v>48</v>
      </c>
      <c r="X100">
        <v>0.65</v>
      </c>
      <c r="Y100">
        <v>164</v>
      </c>
      <c r="Z100">
        <v>0.41</v>
      </c>
      <c r="AA100" t="str">
        <v>FAIL</v>
      </c>
      <c r="AB100" t="str">
        <v>NOT ELIGIBLE</v>
      </c>
      <c r="AC100" t="str">
        <v>IMPROVEMENT</v>
      </c>
    </row>
    <row r="101" spans="1:29" ht="20.25" customHeight="1">
      <c r="A101" s="9" t="s">
        <v>212</v>
      </c>
      <c r="B101" s="9" t="s">
        <v>213</v>
      </c>
      <c r="C101" s="9" t="s">
        <v>21</v>
      </c>
      <c r="D101" s="9" t="s">
        <v>15</v>
      </c>
      <c r="E101" s="9">
        <v>94</v>
      </c>
      <c r="F101" s="9">
        <v>92</v>
      </c>
      <c r="G101" s="9">
        <v>96</v>
      </c>
      <c r="H101" s="9">
        <v>98</v>
      </c>
      <c r="I101" s="11">
        <v>0.99</v>
      </c>
      <c r="J101" s="9">
        <f t="shared" si="4"/>
        <v>380</v>
      </c>
      <c r="K101" s="11">
        <f t="shared" si="5"/>
        <v>0.95</v>
      </c>
      <c r="L101" s="9" t="str">
        <f t="shared" si="6"/>
        <v>PASS</v>
      </c>
      <c r="M101" s="9" t="str">
        <f t="shared" si="7"/>
        <v>ELIGIBLE</v>
      </c>
      <c r="N101" s="9" t="str" cm="1">
        <f t="array" ref="N101">_xlfn.IFS(I101&gt;=95%,"EXCELLENT",I101&gt;=85%,"VERY GOOD",I101&gt;=75%,"GOOD",I101&gt;=65%,"IMPROVEMENT",I101&gt;=40%,"POOR",I101&gt;=0%,"WORST")</f>
        <v>EXCELLENT</v>
      </c>
      <c r="P101" t="str">
        <v>S047</v>
      </c>
      <c r="Q101" t="str">
        <v>Manav Thakur</v>
      </c>
      <c r="R101" t="str">
        <v>10B</v>
      </c>
      <c r="S101" t="str">
        <v>Male</v>
      </c>
      <c r="T101">
        <v>32</v>
      </c>
      <c r="U101">
        <v>39</v>
      </c>
      <c r="V101">
        <v>44</v>
      </c>
      <c r="W101">
        <v>47</v>
      </c>
      <c r="X101">
        <v>0.64</v>
      </c>
      <c r="Y101">
        <v>162</v>
      </c>
      <c r="Z101">
        <v>0.40500000000000003</v>
      </c>
      <c r="AA101" t="str">
        <v>FAIL</v>
      </c>
      <c r="AB101" t="str">
        <v>NOT ELIGIBLE</v>
      </c>
      <c r="AC101" t="str">
        <v>POOR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139D9-325C-49FB-A757-029A47777400}">
  <dimension ref="A1:AF101"/>
  <sheetViews>
    <sheetView workbookViewId="0">
      <selection activeCell="Q8" sqref="Q8"/>
    </sheetView>
  </sheetViews>
  <sheetFormatPr defaultRowHeight="15"/>
  <cols>
    <col min="1" max="9" width="28.7109375" style="9" customWidth="1"/>
    <col min="10" max="14" width="28.7109375" style="10" customWidth="1"/>
    <col min="19" max="19" width="11.140625" bestFit="1" customWidth="1"/>
    <col min="20" max="20" width="15.7109375" bestFit="1" customWidth="1"/>
    <col min="21" max="21" width="5.5703125" bestFit="1" customWidth="1"/>
    <col min="22" max="22" width="7.7109375" bestFit="1" customWidth="1"/>
    <col min="23" max="23" width="7.42578125" bestFit="1" customWidth="1"/>
    <col min="24" max="24" width="6.85546875" bestFit="1" customWidth="1"/>
    <col min="25" max="25" width="7.7109375" bestFit="1" customWidth="1"/>
    <col min="26" max="26" width="10" bestFit="1" customWidth="1"/>
    <col min="27" max="27" width="11.42578125" bestFit="1" customWidth="1"/>
    <col min="28" max="28" width="5.7109375" bestFit="1" customWidth="1"/>
    <col min="29" max="29" width="11.140625" bestFit="1" customWidth="1"/>
    <col min="30" max="30" width="6.7109375" bestFit="1" customWidth="1"/>
    <col min="31" max="31" width="18.42578125" bestFit="1" customWidth="1"/>
    <col min="32" max="32" width="14.85546875" bestFit="1" customWidth="1"/>
  </cols>
  <sheetData>
    <row r="1" spans="1:32" ht="30.7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214</v>
      </c>
      <c r="K1" s="4" t="s">
        <v>216</v>
      </c>
      <c r="L1" s="4" t="s">
        <v>219</v>
      </c>
      <c r="M1" s="4" t="s">
        <v>220</v>
      </c>
      <c r="N1" s="4" t="s">
        <v>221</v>
      </c>
      <c r="S1" s="4" t="s">
        <v>0</v>
      </c>
      <c r="T1" s="4" t="s">
        <v>1</v>
      </c>
      <c r="U1" s="4" t="s">
        <v>2</v>
      </c>
      <c r="V1" s="4" t="s">
        <v>3</v>
      </c>
      <c r="W1" s="4" t="s">
        <v>4</v>
      </c>
      <c r="X1" s="4" t="s">
        <v>5</v>
      </c>
      <c r="Y1" s="4" t="s">
        <v>6</v>
      </c>
      <c r="Z1" s="4" t="s">
        <v>7</v>
      </c>
      <c r="AA1" s="4" t="s">
        <v>8</v>
      </c>
      <c r="AB1" s="4" t="s">
        <v>214</v>
      </c>
      <c r="AC1" s="4" t="s">
        <v>216</v>
      </c>
      <c r="AD1" s="4" t="s">
        <v>219</v>
      </c>
      <c r="AE1" s="4" t="s">
        <v>220</v>
      </c>
      <c r="AF1" s="4" t="s">
        <v>221</v>
      </c>
    </row>
    <row r="2" spans="1:32" ht="20.25" customHeight="1">
      <c r="A2" s="9" t="s">
        <v>9</v>
      </c>
      <c r="B2" s="9" t="s">
        <v>10</v>
      </c>
      <c r="C2" s="9" t="s">
        <v>11</v>
      </c>
      <c r="D2" s="9" t="s">
        <v>12</v>
      </c>
      <c r="E2" s="9">
        <v>78</v>
      </c>
      <c r="F2" s="9">
        <v>85</v>
      </c>
      <c r="G2" s="9">
        <v>72</v>
      </c>
      <c r="H2" s="9">
        <v>90</v>
      </c>
      <c r="I2" s="11">
        <v>0.92</v>
      </c>
      <c r="J2" s="9">
        <f>SUM(E2:H2)</f>
        <v>325</v>
      </c>
      <c r="K2" s="11">
        <f>J2/400</f>
        <v>0.8125</v>
      </c>
      <c r="L2" s="9" t="str">
        <f>IF(MIN(E2:H2)&gt;=40,"PASS","FAIL")</f>
        <v>PASS</v>
      </c>
      <c r="M2" s="9" t="str">
        <f>IF(I2&gt;=75%,"ELIGIBLE","NOT ELIGIBLE")</f>
        <v>ELIGIBLE</v>
      </c>
      <c r="N2" s="9" t="str" cm="1">
        <f t="array" ref="N2">_xlfn.IFS(I2&gt;=95%,"EXCELLENT",I2&gt;=85%,"VERY GOOD",I2&gt;=75%,"GOOD",I2&gt;=65%,"IMPROVEMENT",I2&gt;=40%,"POOR",I2&gt;=0%,"WORST")</f>
        <v>VERY GOOD</v>
      </c>
      <c r="S2" s="17" t="str" cm="1">
        <f t="array" ref="S2:AF51">_xlfn._xlws.FILTER(A2:N101,D2:D101=Q3,"NOT FOUND")</f>
        <v>S001</v>
      </c>
      <c r="T2" s="17" t="str">
        <v>Aarav Sharma</v>
      </c>
      <c r="U2" s="17" t="str">
        <v>10A</v>
      </c>
      <c r="V2" s="17" t="str">
        <v>Male</v>
      </c>
      <c r="W2" s="17">
        <v>78</v>
      </c>
      <c r="X2" s="17">
        <v>85</v>
      </c>
      <c r="Y2" s="17">
        <v>72</v>
      </c>
      <c r="Z2" s="17">
        <v>90</v>
      </c>
      <c r="AA2" s="18">
        <v>0.92</v>
      </c>
      <c r="AB2" s="17">
        <v>325</v>
      </c>
      <c r="AC2" s="18">
        <v>0.8125</v>
      </c>
      <c r="AD2" s="17" t="str">
        <v>PASS</v>
      </c>
      <c r="AE2" s="17" t="str">
        <v>ELIGIBLE</v>
      </c>
      <c r="AF2" s="17" t="str">
        <v>VERY GOOD</v>
      </c>
    </row>
    <row r="3" spans="1:32" ht="20.25" customHeight="1">
      <c r="A3" s="9" t="s">
        <v>13</v>
      </c>
      <c r="B3" s="9" t="s">
        <v>14</v>
      </c>
      <c r="C3" s="9" t="s">
        <v>11</v>
      </c>
      <c r="D3" s="9" t="s">
        <v>15</v>
      </c>
      <c r="E3" s="9">
        <v>65</v>
      </c>
      <c r="F3" s="9">
        <v>71</v>
      </c>
      <c r="G3" s="9">
        <v>68</v>
      </c>
      <c r="H3" s="9">
        <v>75</v>
      </c>
      <c r="I3" s="11">
        <v>0.87</v>
      </c>
      <c r="J3" s="9">
        <f t="shared" ref="J3:J66" si="0">SUM(E3:H3)</f>
        <v>279</v>
      </c>
      <c r="K3" s="11">
        <f t="shared" ref="K3:K66" si="1">J3/400</f>
        <v>0.69750000000000001</v>
      </c>
      <c r="L3" s="9" t="str">
        <f t="shared" ref="L3:L66" si="2">IF(MIN(E3:H3)&gt;=40,"PASS","FAIL")</f>
        <v>PASS</v>
      </c>
      <c r="M3" s="9" t="str">
        <f t="shared" ref="M3:M66" si="3">IF(I3&gt;=75%,"ELIGIBLE","NOT ELIGIBLE")</f>
        <v>ELIGIBLE</v>
      </c>
      <c r="N3" s="9" t="str" cm="1">
        <f t="array" ref="N3">_xlfn.IFS(I3&gt;=95%,"EXCELLENT",I3&gt;=85%,"VERY GOOD",I3&gt;=75%,"GOOD",I3&gt;=65%,"IMPROVEMENT",I3&gt;=40%,"POOR",I3&gt;=0%,"WORST")</f>
        <v>VERY GOOD</v>
      </c>
      <c r="P3" t="s">
        <v>3</v>
      </c>
      <c r="Q3" t="s">
        <v>12</v>
      </c>
      <c r="S3" s="17" t="str">
        <v>S003</v>
      </c>
      <c r="T3" s="17" t="str">
        <v>Kabir Mehta</v>
      </c>
      <c r="U3" s="17" t="str">
        <v>10B</v>
      </c>
      <c r="V3" s="17" t="str">
        <v>Male</v>
      </c>
      <c r="W3" s="17">
        <v>42</v>
      </c>
      <c r="X3" s="17">
        <v>55</v>
      </c>
      <c r="Y3" s="17">
        <v>48</v>
      </c>
      <c r="Z3" s="17">
        <v>61</v>
      </c>
      <c r="AA3" s="18">
        <v>0.74</v>
      </c>
      <c r="AB3" s="17">
        <v>206</v>
      </c>
      <c r="AC3" s="18">
        <v>0.51500000000000001</v>
      </c>
      <c r="AD3" s="17" t="str">
        <v>PASS</v>
      </c>
      <c r="AE3" s="17" t="str">
        <v>NOT ELIGIBLE</v>
      </c>
      <c r="AF3" s="17" t="str">
        <v>IMPROVEMENT</v>
      </c>
    </row>
    <row r="4" spans="1:32" ht="20.25" customHeight="1">
      <c r="A4" s="9" t="s">
        <v>16</v>
      </c>
      <c r="B4" s="9" t="s">
        <v>17</v>
      </c>
      <c r="C4" s="9" t="s">
        <v>18</v>
      </c>
      <c r="D4" s="9" t="s">
        <v>12</v>
      </c>
      <c r="E4" s="9">
        <v>42</v>
      </c>
      <c r="F4" s="9">
        <v>55</v>
      </c>
      <c r="G4" s="9">
        <v>48</v>
      </c>
      <c r="H4" s="9">
        <v>61</v>
      </c>
      <c r="I4" s="11">
        <v>0.74</v>
      </c>
      <c r="J4" s="9">
        <f t="shared" si="0"/>
        <v>206</v>
      </c>
      <c r="K4" s="11">
        <f t="shared" si="1"/>
        <v>0.51500000000000001</v>
      </c>
      <c r="L4" s="9" t="str">
        <f t="shared" si="2"/>
        <v>PASS</v>
      </c>
      <c r="M4" s="9" t="str">
        <f t="shared" si="3"/>
        <v>NOT ELIGIBLE</v>
      </c>
      <c r="N4" s="9" t="str" cm="1">
        <f t="array" ref="N4">_xlfn.IFS(I4&gt;=95%,"EXCELLENT",I4&gt;=85%,"VERY GOOD",I4&gt;=75%,"GOOD",I4&gt;=65%,"IMPROVEMENT",I4&gt;=40%,"POOR",I4&gt;=0%,"WORST")</f>
        <v>IMPROVEMENT</v>
      </c>
      <c r="P4" t="s">
        <v>219</v>
      </c>
      <c r="Q4" t="s">
        <v>223</v>
      </c>
      <c r="S4" s="17" t="str">
        <v>S005</v>
      </c>
      <c r="T4" s="17" t="str">
        <v>Arjun Verma</v>
      </c>
      <c r="U4" s="17" t="str">
        <v>10B</v>
      </c>
      <c r="V4" s="17" t="str">
        <v>Male</v>
      </c>
      <c r="W4" s="17">
        <v>56</v>
      </c>
      <c r="X4" s="17">
        <v>63</v>
      </c>
      <c r="Y4" s="17">
        <v>59</v>
      </c>
      <c r="Z4" s="17">
        <v>70</v>
      </c>
      <c r="AA4" s="18">
        <v>0.81</v>
      </c>
      <c r="AB4" s="17">
        <v>248</v>
      </c>
      <c r="AC4" s="18">
        <v>0.62</v>
      </c>
      <c r="AD4" s="17" t="str">
        <v>PASS</v>
      </c>
      <c r="AE4" s="17" t="str">
        <v>ELIGIBLE</v>
      </c>
      <c r="AF4" s="17" t="str">
        <v>GOOD</v>
      </c>
    </row>
    <row r="5" spans="1:32" ht="20.25" customHeight="1">
      <c r="A5" s="9" t="s">
        <v>19</v>
      </c>
      <c r="B5" s="9" t="s">
        <v>20</v>
      </c>
      <c r="C5" s="9" t="s">
        <v>21</v>
      </c>
      <c r="D5" s="9" t="s">
        <v>15</v>
      </c>
      <c r="E5" s="9">
        <v>91</v>
      </c>
      <c r="F5" s="9">
        <v>88</v>
      </c>
      <c r="G5" s="9">
        <v>94</v>
      </c>
      <c r="H5" s="9">
        <v>96</v>
      </c>
      <c r="I5" s="11">
        <v>0.98</v>
      </c>
      <c r="J5" s="9">
        <f t="shared" si="0"/>
        <v>369</v>
      </c>
      <c r="K5" s="11">
        <f t="shared" si="1"/>
        <v>0.92249999999999999</v>
      </c>
      <c r="L5" s="9" t="str">
        <f t="shared" si="2"/>
        <v>PASS</v>
      </c>
      <c r="M5" s="9" t="str">
        <f t="shared" si="3"/>
        <v>ELIGIBLE</v>
      </c>
      <c r="N5" s="9" t="str" cm="1">
        <f t="array" ref="N5">_xlfn.IFS(I5&gt;=95%,"EXCELLENT",I5&gt;=85%,"VERY GOOD",I5&gt;=75%,"GOOD",I5&gt;=65%,"IMPROVEMENT",I5&gt;=40%,"POOR",I5&gt;=0%,"WORST")</f>
        <v>EXCELLENT</v>
      </c>
      <c r="S5" s="17" t="str">
        <v>S007</v>
      </c>
      <c r="T5" s="17" t="str">
        <v>Rohan Gupta</v>
      </c>
      <c r="U5" s="17" t="str">
        <v>10C</v>
      </c>
      <c r="V5" s="17" t="str">
        <v>Male</v>
      </c>
      <c r="W5" s="17">
        <v>38</v>
      </c>
      <c r="X5" s="17">
        <v>45</v>
      </c>
      <c r="Y5" s="17">
        <v>41</v>
      </c>
      <c r="Z5" s="17">
        <v>52</v>
      </c>
      <c r="AA5" s="18">
        <v>0.69</v>
      </c>
      <c r="AB5" s="17">
        <v>176</v>
      </c>
      <c r="AC5" s="18">
        <v>0.44</v>
      </c>
      <c r="AD5" s="17" t="str">
        <v>FAIL</v>
      </c>
      <c r="AE5" s="17" t="str">
        <v>NOT ELIGIBLE</v>
      </c>
      <c r="AF5" s="17" t="str">
        <v>IMPROVEMENT</v>
      </c>
    </row>
    <row r="6" spans="1:32" ht="20.25" customHeight="1">
      <c r="A6" s="9" t="s">
        <v>22</v>
      </c>
      <c r="B6" s="9" t="s">
        <v>23</v>
      </c>
      <c r="C6" s="9" t="s">
        <v>18</v>
      </c>
      <c r="D6" s="9" t="s">
        <v>12</v>
      </c>
      <c r="E6" s="9">
        <v>56</v>
      </c>
      <c r="F6" s="9">
        <v>63</v>
      </c>
      <c r="G6" s="9">
        <v>59</v>
      </c>
      <c r="H6" s="9">
        <v>70</v>
      </c>
      <c r="I6" s="11">
        <v>0.81</v>
      </c>
      <c r="J6" s="9">
        <f t="shared" si="0"/>
        <v>248</v>
      </c>
      <c r="K6" s="11">
        <f t="shared" si="1"/>
        <v>0.62</v>
      </c>
      <c r="L6" s="9" t="str">
        <f t="shared" si="2"/>
        <v>PASS</v>
      </c>
      <c r="M6" s="9" t="str">
        <f t="shared" si="3"/>
        <v>ELIGIBLE</v>
      </c>
      <c r="N6" s="9" t="str" cm="1">
        <f t="array" ref="N6">_xlfn.IFS(I6&gt;=95%,"EXCELLENT",I6&gt;=85%,"VERY GOOD",I6&gt;=75%,"GOOD",I6&gt;=65%,"IMPROVEMENT",I6&gt;=40%,"POOR",I6&gt;=0%,"WORST")</f>
        <v>GOOD</v>
      </c>
      <c r="S6" s="17" t="str">
        <v>S009</v>
      </c>
      <c r="T6" s="17" t="str">
        <v>Aditya Kulkarni</v>
      </c>
      <c r="U6" s="17" t="str">
        <v>10A</v>
      </c>
      <c r="V6" s="17" t="str">
        <v>Male</v>
      </c>
      <c r="W6" s="17">
        <v>95</v>
      </c>
      <c r="X6" s="17">
        <v>92</v>
      </c>
      <c r="Y6" s="17">
        <v>89</v>
      </c>
      <c r="Z6" s="17">
        <v>97</v>
      </c>
      <c r="AA6" s="18">
        <v>0.99</v>
      </c>
      <c r="AB6" s="17">
        <v>373</v>
      </c>
      <c r="AC6" s="18">
        <v>0.9325</v>
      </c>
      <c r="AD6" s="17" t="str">
        <v>PASS</v>
      </c>
      <c r="AE6" s="17" t="str">
        <v>ELIGIBLE</v>
      </c>
      <c r="AF6" s="17" t="str">
        <v>EXCELLENT</v>
      </c>
    </row>
    <row r="7" spans="1:32" ht="20.25" customHeight="1">
      <c r="A7" s="9" t="s">
        <v>24</v>
      </c>
      <c r="B7" s="9" t="s">
        <v>25</v>
      </c>
      <c r="C7" s="9" t="s">
        <v>11</v>
      </c>
      <c r="D7" s="9" t="s">
        <v>15</v>
      </c>
      <c r="E7" s="9">
        <v>84</v>
      </c>
      <c r="F7" s="9">
        <v>79</v>
      </c>
      <c r="G7" s="9">
        <v>88</v>
      </c>
      <c r="H7" s="9">
        <v>91</v>
      </c>
      <c r="I7" s="11">
        <v>0.95</v>
      </c>
      <c r="J7" s="9">
        <f t="shared" si="0"/>
        <v>342</v>
      </c>
      <c r="K7" s="11">
        <f t="shared" si="1"/>
        <v>0.85499999999999998</v>
      </c>
      <c r="L7" s="9" t="str">
        <f t="shared" si="2"/>
        <v>PASS</v>
      </c>
      <c r="M7" s="9" t="str">
        <f t="shared" si="3"/>
        <v>ELIGIBLE</v>
      </c>
      <c r="N7" s="9" t="str" cm="1">
        <f t="array" ref="N7">_xlfn.IFS(I7&gt;=95%,"EXCELLENT",I7&gt;=85%,"VERY GOOD",I7&gt;=75%,"GOOD",I7&gt;=65%,"IMPROVEMENT",I7&gt;=40%,"POOR",I7&gt;=0%,"WORST")</f>
        <v>EXCELLENT</v>
      </c>
      <c r="S7" s="17" t="str">
        <v>S011</v>
      </c>
      <c r="T7" s="17" t="str">
        <v>Vihaan Singh</v>
      </c>
      <c r="U7" s="17" t="str">
        <v>10B</v>
      </c>
      <c r="V7" s="17" t="str">
        <v>Male</v>
      </c>
      <c r="W7" s="17">
        <v>82</v>
      </c>
      <c r="X7" s="17">
        <v>86</v>
      </c>
      <c r="Y7" s="17">
        <v>79</v>
      </c>
      <c r="Z7" s="17">
        <v>88</v>
      </c>
      <c r="AA7" s="18">
        <v>0.93</v>
      </c>
      <c r="AB7" s="17">
        <v>335</v>
      </c>
      <c r="AC7" s="18">
        <v>0.83750000000000002</v>
      </c>
      <c r="AD7" s="17" t="str">
        <v>PASS</v>
      </c>
      <c r="AE7" s="17" t="str">
        <v>ELIGIBLE</v>
      </c>
      <c r="AF7" s="17" t="str">
        <v>VERY GOOD</v>
      </c>
    </row>
    <row r="8" spans="1:32" ht="20.25" customHeight="1">
      <c r="A8" s="9" t="s">
        <v>26</v>
      </c>
      <c r="B8" s="9" t="s">
        <v>27</v>
      </c>
      <c r="C8" s="9" t="s">
        <v>21</v>
      </c>
      <c r="D8" s="9" t="s">
        <v>12</v>
      </c>
      <c r="E8" s="9">
        <v>38</v>
      </c>
      <c r="F8" s="9">
        <v>45</v>
      </c>
      <c r="G8" s="9">
        <v>41</v>
      </c>
      <c r="H8" s="9">
        <v>52</v>
      </c>
      <c r="I8" s="11">
        <v>0.69</v>
      </c>
      <c r="J8" s="9">
        <f t="shared" si="0"/>
        <v>176</v>
      </c>
      <c r="K8" s="11">
        <f t="shared" si="1"/>
        <v>0.44</v>
      </c>
      <c r="L8" s="9" t="str">
        <f t="shared" si="2"/>
        <v>FAIL</v>
      </c>
      <c r="M8" s="9" t="str">
        <f t="shared" si="3"/>
        <v>NOT ELIGIBLE</v>
      </c>
      <c r="N8" s="9" t="str" cm="1">
        <f t="array" ref="N8">_xlfn.IFS(I8&gt;=95%,"EXCELLENT",I8&gt;=85%,"VERY GOOD",I8&gt;=75%,"GOOD",I8&gt;=65%,"IMPROVEMENT",I8&gt;=40%,"POOR",I8&gt;=0%,"WORST")</f>
        <v>IMPROVEMENT</v>
      </c>
      <c r="S8" s="17" t="str">
        <v>S013</v>
      </c>
      <c r="T8" s="17" t="str">
        <v>Reyansh Kapoor</v>
      </c>
      <c r="U8" s="17" t="str">
        <v>10C</v>
      </c>
      <c r="V8" s="17" t="str">
        <v>Male</v>
      </c>
      <c r="W8" s="17">
        <v>47</v>
      </c>
      <c r="X8" s="17">
        <v>52</v>
      </c>
      <c r="Y8" s="17">
        <v>44</v>
      </c>
      <c r="Z8" s="17">
        <v>58</v>
      </c>
      <c r="AA8" s="18">
        <v>0.72</v>
      </c>
      <c r="AB8" s="17">
        <v>201</v>
      </c>
      <c r="AC8" s="18">
        <v>0.50249999999999995</v>
      </c>
      <c r="AD8" s="17" t="str">
        <v>PASS</v>
      </c>
      <c r="AE8" s="17" t="str">
        <v>NOT ELIGIBLE</v>
      </c>
      <c r="AF8" s="17" t="str">
        <v>IMPROVEMENT</v>
      </c>
    </row>
    <row r="9" spans="1:32" ht="20.25" customHeight="1">
      <c r="A9" s="9" t="s">
        <v>28</v>
      </c>
      <c r="B9" s="9" t="s">
        <v>29</v>
      </c>
      <c r="C9" s="9" t="s">
        <v>18</v>
      </c>
      <c r="D9" s="9" t="s">
        <v>15</v>
      </c>
      <c r="E9" s="9">
        <v>73</v>
      </c>
      <c r="F9" s="9">
        <v>68</v>
      </c>
      <c r="G9" s="9">
        <v>76</v>
      </c>
      <c r="H9" s="9">
        <v>82</v>
      </c>
      <c r="I9" s="11">
        <v>0.89</v>
      </c>
      <c r="J9" s="9">
        <f t="shared" si="0"/>
        <v>299</v>
      </c>
      <c r="K9" s="11">
        <f t="shared" si="1"/>
        <v>0.74750000000000005</v>
      </c>
      <c r="L9" s="9" t="str">
        <f t="shared" si="2"/>
        <v>PASS</v>
      </c>
      <c r="M9" s="9" t="str">
        <f t="shared" si="3"/>
        <v>ELIGIBLE</v>
      </c>
      <c r="N9" s="9" t="str" cm="1">
        <f t="array" ref="N9">_xlfn.IFS(I9&gt;=95%,"EXCELLENT",I9&gt;=85%,"VERY GOOD",I9&gt;=75%,"GOOD",I9&gt;=65%,"IMPROVEMENT",I9&gt;=40%,"POOR",I9&gt;=0%,"WORST")</f>
        <v>VERY GOOD</v>
      </c>
      <c r="S9" s="17" t="str">
        <v>S015</v>
      </c>
      <c r="T9" s="17" t="str">
        <v>Krish Malhotra</v>
      </c>
      <c r="U9" s="17" t="str">
        <v>10A</v>
      </c>
      <c r="V9" s="17" t="str">
        <v>Male</v>
      </c>
      <c r="W9" s="17">
        <v>69</v>
      </c>
      <c r="X9" s="17">
        <v>74</v>
      </c>
      <c r="Y9" s="17">
        <v>67</v>
      </c>
      <c r="Z9" s="17">
        <v>72</v>
      </c>
      <c r="AA9" s="18">
        <v>0.84</v>
      </c>
      <c r="AB9" s="17">
        <v>282</v>
      </c>
      <c r="AC9" s="18">
        <v>0.70499999999999996</v>
      </c>
      <c r="AD9" s="17" t="str">
        <v>PASS</v>
      </c>
      <c r="AE9" s="17" t="str">
        <v>ELIGIBLE</v>
      </c>
      <c r="AF9" s="17" t="str">
        <v>GOOD</v>
      </c>
    </row>
    <row r="10" spans="1:32" ht="20.25" customHeight="1">
      <c r="A10" s="9" t="s">
        <v>30</v>
      </c>
      <c r="B10" s="9" t="s">
        <v>31</v>
      </c>
      <c r="C10" s="9" t="s">
        <v>11</v>
      </c>
      <c r="D10" s="9" t="s">
        <v>12</v>
      </c>
      <c r="E10" s="9">
        <v>95</v>
      </c>
      <c r="F10" s="9">
        <v>92</v>
      </c>
      <c r="G10" s="9">
        <v>89</v>
      </c>
      <c r="H10" s="9">
        <v>97</v>
      </c>
      <c r="I10" s="11">
        <v>0.99</v>
      </c>
      <c r="J10" s="9">
        <f t="shared" si="0"/>
        <v>373</v>
      </c>
      <c r="K10" s="11">
        <f t="shared" si="1"/>
        <v>0.9325</v>
      </c>
      <c r="L10" s="9" t="str">
        <f t="shared" si="2"/>
        <v>PASS</v>
      </c>
      <c r="M10" s="9" t="str">
        <f t="shared" si="3"/>
        <v>ELIGIBLE</v>
      </c>
      <c r="N10" s="9" t="str" cm="1">
        <f t="array" ref="N10">_xlfn.IFS(I10&gt;=95%,"EXCELLENT",I10&gt;=85%,"VERY GOOD",I10&gt;=75%,"GOOD",I10&gt;=65%,"IMPROVEMENT",I10&gt;=40%,"POOR",I10&gt;=0%,"WORST")</f>
        <v>EXCELLENT</v>
      </c>
      <c r="S10" s="17" t="str">
        <v>S017</v>
      </c>
      <c r="T10" s="17" t="str">
        <v>Advait Bansal</v>
      </c>
      <c r="U10" s="17" t="str">
        <v>10B</v>
      </c>
      <c r="V10" s="17" t="str">
        <v>Male</v>
      </c>
      <c r="W10" s="17">
        <v>54</v>
      </c>
      <c r="X10" s="17">
        <v>49</v>
      </c>
      <c r="Y10" s="17">
        <v>57</v>
      </c>
      <c r="Z10" s="17">
        <v>63</v>
      </c>
      <c r="AA10" s="18">
        <v>0.76</v>
      </c>
      <c r="AB10" s="17">
        <v>223</v>
      </c>
      <c r="AC10" s="18">
        <v>0.5575</v>
      </c>
      <c r="AD10" s="17" t="str">
        <v>PASS</v>
      </c>
      <c r="AE10" s="17" t="str">
        <v>ELIGIBLE</v>
      </c>
      <c r="AF10" s="17" t="str">
        <v>GOOD</v>
      </c>
    </row>
    <row r="11" spans="1:32" ht="20.25" customHeight="1">
      <c r="A11" s="9" t="s">
        <v>32</v>
      </c>
      <c r="B11" s="9" t="s">
        <v>33</v>
      </c>
      <c r="C11" s="9" t="s">
        <v>21</v>
      </c>
      <c r="D11" s="9" t="s">
        <v>15</v>
      </c>
      <c r="E11" s="9">
        <v>61</v>
      </c>
      <c r="F11" s="9">
        <v>57</v>
      </c>
      <c r="G11" s="9">
        <v>64</v>
      </c>
      <c r="H11" s="9">
        <v>69</v>
      </c>
      <c r="I11" s="11">
        <v>0.78</v>
      </c>
      <c r="J11" s="9">
        <f t="shared" si="0"/>
        <v>251</v>
      </c>
      <c r="K11" s="11">
        <f t="shared" si="1"/>
        <v>0.62749999999999995</v>
      </c>
      <c r="L11" s="9" t="str">
        <f t="shared" si="2"/>
        <v>PASS</v>
      </c>
      <c r="M11" s="9" t="str">
        <f t="shared" si="3"/>
        <v>ELIGIBLE</v>
      </c>
      <c r="N11" s="9" t="str" cm="1">
        <f t="array" ref="N11">_xlfn.IFS(I11&gt;=95%,"EXCELLENT",I11&gt;=85%,"VERY GOOD",I11&gt;=75%,"GOOD",I11&gt;=65%,"IMPROVEMENT",I11&gt;=40%,"POOR",I11&gt;=0%,"WORST")</f>
        <v>GOOD</v>
      </c>
      <c r="S11" s="17" t="str">
        <v>S019</v>
      </c>
      <c r="T11" s="17" t="str">
        <v>Dhruv Mishra</v>
      </c>
      <c r="U11" s="17" t="str">
        <v>10C</v>
      </c>
      <c r="V11" s="17" t="str">
        <v>Male</v>
      </c>
      <c r="W11" s="17">
        <v>35</v>
      </c>
      <c r="X11" s="17">
        <v>42</v>
      </c>
      <c r="Y11" s="17">
        <v>39</v>
      </c>
      <c r="Z11" s="17">
        <v>48</v>
      </c>
      <c r="AA11" s="18">
        <v>0.65</v>
      </c>
      <c r="AB11" s="17">
        <v>164</v>
      </c>
      <c r="AC11" s="18">
        <v>0.41</v>
      </c>
      <c r="AD11" s="17" t="str">
        <v>FAIL</v>
      </c>
      <c r="AE11" s="17" t="str">
        <v>NOT ELIGIBLE</v>
      </c>
      <c r="AF11" s="17" t="str">
        <v>IMPROVEMENT</v>
      </c>
    </row>
    <row r="12" spans="1:32" ht="20.25" customHeight="1">
      <c r="A12" s="9" t="s">
        <v>34</v>
      </c>
      <c r="B12" s="9" t="s">
        <v>35</v>
      </c>
      <c r="C12" s="9" t="s">
        <v>18</v>
      </c>
      <c r="D12" s="9" t="s">
        <v>12</v>
      </c>
      <c r="E12" s="9">
        <v>82</v>
      </c>
      <c r="F12" s="9">
        <v>86</v>
      </c>
      <c r="G12" s="9">
        <v>79</v>
      </c>
      <c r="H12" s="9">
        <v>88</v>
      </c>
      <c r="I12" s="11">
        <v>0.93</v>
      </c>
      <c r="J12" s="9">
        <f t="shared" si="0"/>
        <v>335</v>
      </c>
      <c r="K12" s="11">
        <f t="shared" si="1"/>
        <v>0.83750000000000002</v>
      </c>
      <c r="L12" s="9" t="str">
        <f t="shared" si="2"/>
        <v>PASS</v>
      </c>
      <c r="M12" s="9" t="str">
        <f t="shared" si="3"/>
        <v>ELIGIBLE</v>
      </c>
      <c r="N12" s="9" t="str" cm="1">
        <f t="array" ref="N12">_xlfn.IFS(I12&gt;=95%,"EXCELLENT",I12&gt;=85%,"VERY GOOD",I12&gt;=75%,"GOOD",I12&gt;=65%,"IMPROVEMENT",I12&gt;=40%,"POOR",I12&gt;=0%,"WORST")</f>
        <v>VERY GOOD</v>
      </c>
      <c r="S12" s="17" t="str">
        <v>S021</v>
      </c>
      <c r="T12" s="17" t="str">
        <v>Arnav Sethi</v>
      </c>
      <c r="U12" s="17" t="str">
        <v>10A</v>
      </c>
      <c r="V12" s="17" t="str">
        <v>Male</v>
      </c>
      <c r="W12" s="17">
        <v>89</v>
      </c>
      <c r="X12" s="17">
        <v>94</v>
      </c>
      <c r="Y12" s="17">
        <v>91</v>
      </c>
      <c r="Z12" s="17">
        <v>93</v>
      </c>
      <c r="AA12" s="18">
        <v>0.96</v>
      </c>
      <c r="AB12" s="17">
        <v>367</v>
      </c>
      <c r="AC12" s="18">
        <v>0.91749999999999998</v>
      </c>
      <c r="AD12" s="17" t="str">
        <v>PASS</v>
      </c>
      <c r="AE12" s="17" t="str">
        <v>ELIGIBLE</v>
      </c>
      <c r="AF12" s="17" t="str">
        <v>EXCELLENT</v>
      </c>
    </row>
    <row r="13" spans="1:32" ht="20.25" customHeight="1">
      <c r="A13" s="9" t="s">
        <v>36</v>
      </c>
      <c r="B13" s="9" t="s">
        <v>37</v>
      </c>
      <c r="C13" s="9" t="s">
        <v>11</v>
      </c>
      <c r="D13" s="9" t="s">
        <v>15</v>
      </c>
      <c r="E13" s="9">
        <v>88</v>
      </c>
      <c r="F13" s="9">
        <v>91</v>
      </c>
      <c r="G13" s="9">
        <v>85</v>
      </c>
      <c r="H13" s="9">
        <v>94</v>
      </c>
      <c r="I13" s="11">
        <v>0.97</v>
      </c>
      <c r="J13" s="9">
        <f t="shared" si="0"/>
        <v>358</v>
      </c>
      <c r="K13" s="11">
        <f t="shared" si="1"/>
        <v>0.89500000000000002</v>
      </c>
      <c r="L13" s="9" t="str">
        <f t="shared" si="2"/>
        <v>PASS</v>
      </c>
      <c r="M13" s="9" t="str">
        <f t="shared" si="3"/>
        <v>ELIGIBLE</v>
      </c>
      <c r="N13" s="9" t="str" cm="1">
        <f t="array" ref="N13">_xlfn.IFS(I13&gt;=95%,"EXCELLENT",I13&gt;=85%,"VERY GOOD",I13&gt;=75%,"GOOD",I13&gt;=65%,"IMPROVEMENT",I13&gt;=40%,"POOR",I13&gt;=0%,"WORST")</f>
        <v>EXCELLENT</v>
      </c>
      <c r="S13" s="17" t="str">
        <v>S023</v>
      </c>
      <c r="T13" s="17" t="str">
        <v>Rudra Patil</v>
      </c>
      <c r="U13" s="17" t="str">
        <v>10B</v>
      </c>
      <c r="V13" s="17" t="str">
        <v>Male</v>
      </c>
      <c r="W13" s="17">
        <v>58</v>
      </c>
      <c r="X13" s="17">
        <v>61</v>
      </c>
      <c r="Y13" s="17">
        <v>55</v>
      </c>
      <c r="Z13" s="17">
        <v>67</v>
      </c>
      <c r="AA13" s="18">
        <v>0.79</v>
      </c>
      <c r="AB13" s="17">
        <v>241</v>
      </c>
      <c r="AC13" s="18">
        <v>0.60250000000000004</v>
      </c>
      <c r="AD13" s="17" t="str">
        <v>PASS</v>
      </c>
      <c r="AE13" s="17" t="str">
        <v>ELIGIBLE</v>
      </c>
      <c r="AF13" s="17" t="str">
        <v>GOOD</v>
      </c>
    </row>
    <row r="14" spans="1:32" ht="20.25" customHeight="1">
      <c r="A14" s="9" t="s">
        <v>38</v>
      </c>
      <c r="B14" s="9" t="s">
        <v>39</v>
      </c>
      <c r="C14" s="9" t="s">
        <v>21</v>
      </c>
      <c r="D14" s="9" t="s">
        <v>12</v>
      </c>
      <c r="E14" s="9">
        <v>47</v>
      </c>
      <c r="F14" s="9">
        <v>52</v>
      </c>
      <c r="G14" s="9">
        <v>44</v>
      </c>
      <c r="H14" s="9">
        <v>58</v>
      </c>
      <c r="I14" s="11">
        <v>0.72</v>
      </c>
      <c r="J14" s="9">
        <f t="shared" si="0"/>
        <v>201</v>
      </c>
      <c r="K14" s="11">
        <f t="shared" si="1"/>
        <v>0.50249999999999995</v>
      </c>
      <c r="L14" s="9" t="str">
        <f t="shared" si="2"/>
        <v>PASS</v>
      </c>
      <c r="M14" s="9" t="str">
        <f t="shared" si="3"/>
        <v>NOT ELIGIBLE</v>
      </c>
      <c r="N14" s="9" t="str" cm="1">
        <f t="array" ref="N14">_xlfn.IFS(I14&gt;=95%,"EXCELLENT",I14&gt;=85%,"VERY GOOD",I14&gt;=75%,"GOOD",I14&gt;=65%,"IMPROVEMENT",I14&gt;=40%,"POOR",I14&gt;=0%,"WORST")</f>
        <v>IMPROVEMENT</v>
      </c>
      <c r="S14" s="17" t="str">
        <v>S025</v>
      </c>
      <c r="T14" s="17" t="str">
        <v>Yash Thakur</v>
      </c>
      <c r="U14" s="17" t="str">
        <v>10C</v>
      </c>
      <c r="V14" s="17" t="str">
        <v>Male</v>
      </c>
      <c r="W14" s="17">
        <v>44</v>
      </c>
      <c r="X14" s="17">
        <v>51</v>
      </c>
      <c r="Y14" s="17">
        <v>46</v>
      </c>
      <c r="Z14" s="17">
        <v>55</v>
      </c>
      <c r="AA14" s="18">
        <v>0.73</v>
      </c>
      <c r="AB14" s="17">
        <v>196</v>
      </c>
      <c r="AC14" s="18">
        <v>0.49</v>
      </c>
      <c r="AD14" s="17" t="str">
        <v>PASS</v>
      </c>
      <c r="AE14" s="17" t="str">
        <v>NOT ELIGIBLE</v>
      </c>
      <c r="AF14" s="17" t="str">
        <v>IMPROVEMENT</v>
      </c>
    </row>
    <row r="15" spans="1:32" ht="20.25" customHeight="1">
      <c r="A15" s="9" t="s">
        <v>40</v>
      </c>
      <c r="B15" s="9" t="s">
        <v>41</v>
      </c>
      <c r="C15" s="9" t="s">
        <v>18</v>
      </c>
      <c r="D15" s="9" t="s">
        <v>15</v>
      </c>
      <c r="E15" s="9">
        <v>76</v>
      </c>
      <c r="F15" s="9">
        <v>81</v>
      </c>
      <c r="G15" s="9">
        <v>73</v>
      </c>
      <c r="H15" s="9">
        <v>79</v>
      </c>
      <c r="I15" s="11">
        <v>0.9</v>
      </c>
      <c r="J15" s="9">
        <f t="shared" si="0"/>
        <v>309</v>
      </c>
      <c r="K15" s="11">
        <f t="shared" si="1"/>
        <v>0.77249999999999996</v>
      </c>
      <c r="L15" s="9" t="str">
        <f t="shared" si="2"/>
        <v>PASS</v>
      </c>
      <c r="M15" s="9" t="str">
        <f t="shared" si="3"/>
        <v>ELIGIBLE</v>
      </c>
      <c r="N15" s="9" t="str" cm="1">
        <f t="array" ref="N15">_xlfn.IFS(I15&gt;=95%,"EXCELLENT",I15&gt;=85%,"VERY GOOD",I15&gt;=75%,"GOOD",I15&gt;=65%,"IMPROVEMENT",I15&gt;=40%,"POOR",I15&gt;=0%,"WORST")</f>
        <v>VERY GOOD</v>
      </c>
      <c r="S15" s="17" t="str">
        <v>S027</v>
      </c>
      <c r="T15" s="17" t="str">
        <v>Devansh Shah</v>
      </c>
      <c r="U15" s="17" t="str">
        <v>10A</v>
      </c>
      <c r="V15" s="17" t="str">
        <v>Male</v>
      </c>
      <c r="W15" s="17">
        <v>71</v>
      </c>
      <c r="X15" s="17">
        <v>66</v>
      </c>
      <c r="Y15" s="17">
        <v>74</v>
      </c>
      <c r="Z15" s="17">
        <v>80</v>
      </c>
      <c r="AA15" s="18">
        <v>0.86</v>
      </c>
      <c r="AB15" s="17">
        <v>291</v>
      </c>
      <c r="AC15" s="18">
        <v>0.72750000000000004</v>
      </c>
      <c r="AD15" s="17" t="str">
        <v>PASS</v>
      </c>
      <c r="AE15" s="17" t="str">
        <v>ELIGIBLE</v>
      </c>
      <c r="AF15" s="17" t="str">
        <v>VERY GOOD</v>
      </c>
    </row>
    <row r="16" spans="1:32" ht="20.25" customHeight="1">
      <c r="A16" s="9" t="s">
        <v>42</v>
      </c>
      <c r="B16" s="9" t="s">
        <v>43</v>
      </c>
      <c r="C16" s="9" t="s">
        <v>11</v>
      </c>
      <c r="D16" s="9" t="s">
        <v>12</v>
      </c>
      <c r="E16" s="9">
        <v>69</v>
      </c>
      <c r="F16" s="9">
        <v>74</v>
      </c>
      <c r="G16" s="9">
        <v>67</v>
      </c>
      <c r="H16" s="9">
        <v>72</v>
      </c>
      <c r="I16" s="11">
        <v>0.84</v>
      </c>
      <c r="J16" s="9">
        <f t="shared" si="0"/>
        <v>282</v>
      </c>
      <c r="K16" s="11">
        <f t="shared" si="1"/>
        <v>0.70499999999999996</v>
      </c>
      <c r="L16" s="9" t="str">
        <f t="shared" si="2"/>
        <v>PASS</v>
      </c>
      <c r="M16" s="9" t="str">
        <f t="shared" si="3"/>
        <v>ELIGIBLE</v>
      </c>
      <c r="N16" s="9" t="str" cm="1">
        <f t="array" ref="N16">_xlfn.IFS(I16&gt;=95%,"EXCELLENT",I16&gt;=85%,"VERY GOOD",I16&gt;=75%,"GOOD",I16&gt;=65%,"IMPROVEMENT",I16&gt;=40%,"POOR",I16&gt;=0%,"WORST")</f>
        <v>GOOD</v>
      </c>
      <c r="S16" s="17" t="str">
        <v>S029</v>
      </c>
      <c r="T16" s="17" t="str">
        <v>Harsh Vora</v>
      </c>
      <c r="U16" s="17" t="str">
        <v>10B</v>
      </c>
      <c r="V16" s="17" t="str">
        <v>Male</v>
      </c>
      <c r="W16" s="17">
        <v>49</v>
      </c>
      <c r="X16" s="17">
        <v>58</v>
      </c>
      <c r="Y16" s="17">
        <v>52</v>
      </c>
      <c r="Z16" s="17">
        <v>60</v>
      </c>
      <c r="AA16" s="18">
        <v>0.75</v>
      </c>
      <c r="AB16" s="17">
        <v>219</v>
      </c>
      <c r="AC16" s="18">
        <v>0.54749999999999999</v>
      </c>
      <c r="AD16" s="17" t="str">
        <v>PASS</v>
      </c>
      <c r="AE16" s="17" t="str">
        <v>ELIGIBLE</v>
      </c>
      <c r="AF16" s="17" t="str">
        <v>GOOD</v>
      </c>
    </row>
    <row r="17" spans="1:32" ht="20.25" customHeight="1">
      <c r="A17" s="9" t="s">
        <v>44</v>
      </c>
      <c r="B17" s="9" t="s">
        <v>45</v>
      </c>
      <c r="C17" s="9" t="s">
        <v>21</v>
      </c>
      <c r="D17" s="9" t="s">
        <v>15</v>
      </c>
      <c r="E17" s="9">
        <v>93</v>
      </c>
      <c r="F17" s="9">
        <v>89</v>
      </c>
      <c r="G17" s="9">
        <v>96</v>
      </c>
      <c r="H17" s="9">
        <v>91</v>
      </c>
      <c r="I17" s="11">
        <v>0.98</v>
      </c>
      <c r="J17" s="9">
        <f t="shared" si="0"/>
        <v>369</v>
      </c>
      <c r="K17" s="11">
        <f t="shared" si="1"/>
        <v>0.92249999999999999</v>
      </c>
      <c r="L17" s="9" t="str">
        <f t="shared" si="2"/>
        <v>PASS</v>
      </c>
      <c r="M17" s="9" t="str">
        <f t="shared" si="3"/>
        <v>ELIGIBLE</v>
      </c>
      <c r="N17" s="9" t="str" cm="1">
        <f t="array" ref="N17">_xlfn.IFS(I17&gt;=95%,"EXCELLENT",I17&gt;=85%,"VERY GOOD",I17&gt;=75%,"GOOD",I17&gt;=65%,"IMPROVEMENT",I17&gt;=40%,"POOR",I17&gt;=0%,"WORST")</f>
        <v>EXCELLENT</v>
      </c>
      <c r="S17" s="17" t="str">
        <v>S031</v>
      </c>
      <c r="T17" s="17" t="str">
        <v>Reyansh Patel</v>
      </c>
      <c r="U17" s="17" t="str">
        <v>10C</v>
      </c>
      <c r="V17" s="17" t="str">
        <v>Male</v>
      </c>
      <c r="W17" s="17">
        <v>79</v>
      </c>
      <c r="X17" s="17">
        <v>82</v>
      </c>
      <c r="Y17" s="17">
        <v>77</v>
      </c>
      <c r="Z17" s="17">
        <v>84</v>
      </c>
      <c r="AA17" s="18">
        <v>0.91</v>
      </c>
      <c r="AB17" s="17">
        <v>322</v>
      </c>
      <c r="AC17" s="18">
        <v>0.80500000000000005</v>
      </c>
      <c r="AD17" s="17" t="str">
        <v>PASS</v>
      </c>
      <c r="AE17" s="17" t="str">
        <v>ELIGIBLE</v>
      </c>
      <c r="AF17" s="17" t="str">
        <v>VERY GOOD</v>
      </c>
    </row>
    <row r="18" spans="1:32" ht="20.25" customHeight="1">
      <c r="A18" s="9" t="s">
        <v>46</v>
      </c>
      <c r="B18" s="9" t="s">
        <v>47</v>
      </c>
      <c r="C18" s="9" t="s">
        <v>18</v>
      </c>
      <c r="D18" s="9" t="s">
        <v>12</v>
      </c>
      <c r="E18" s="9">
        <v>54</v>
      </c>
      <c r="F18" s="9">
        <v>49</v>
      </c>
      <c r="G18" s="9">
        <v>57</v>
      </c>
      <c r="H18" s="9">
        <v>63</v>
      </c>
      <c r="I18" s="11">
        <v>0.76</v>
      </c>
      <c r="J18" s="9">
        <f t="shared" si="0"/>
        <v>223</v>
      </c>
      <c r="K18" s="11">
        <f t="shared" si="1"/>
        <v>0.5575</v>
      </c>
      <c r="L18" s="9" t="str">
        <f t="shared" si="2"/>
        <v>PASS</v>
      </c>
      <c r="M18" s="9" t="str">
        <f t="shared" si="3"/>
        <v>ELIGIBLE</v>
      </c>
      <c r="N18" s="9" t="str" cm="1">
        <f t="array" ref="N18">_xlfn.IFS(I18&gt;=95%,"EXCELLENT",I18&gt;=85%,"VERY GOOD",I18&gt;=75%,"GOOD",I18&gt;=65%,"IMPROVEMENT",I18&gt;=40%,"POOR",I18&gt;=0%,"WORST")</f>
        <v>GOOD</v>
      </c>
      <c r="S18" s="17" t="str">
        <v>S033</v>
      </c>
      <c r="T18" s="17" t="str">
        <v>Atharv Rao</v>
      </c>
      <c r="U18" s="17" t="str">
        <v>10A</v>
      </c>
      <c r="V18" s="17" t="str">
        <v>Male</v>
      </c>
      <c r="W18" s="17">
        <v>52</v>
      </c>
      <c r="X18" s="17">
        <v>47</v>
      </c>
      <c r="Y18" s="17">
        <v>54</v>
      </c>
      <c r="Z18" s="17">
        <v>62</v>
      </c>
      <c r="AA18" s="18">
        <v>0.77</v>
      </c>
      <c r="AB18" s="17">
        <v>215</v>
      </c>
      <c r="AC18" s="18">
        <v>0.53749999999999998</v>
      </c>
      <c r="AD18" s="17" t="str">
        <v>PASS</v>
      </c>
      <c r="AE18" s="17" t="str">
        <v>ELIGIBLE</v>
      </c>
      <c r="AF18" s="17" t="str">
        <v>GOOD</v>
      </c>
    </row>
    <row r="19" spans="1:32" ht="20.25" customHeight="1">
      <c r="A19" s="9" t="s">
        <v>48</v>
      </c>
      <c r="B19" s="9" t="s">
        <v>49</v>
      </c>
      <c r="C19" s="9" t="s">
        <v>11</v>
      </c>
      <c r="D19" s="9" t="s">
        <v>15</v>
      </c>
      <c r="E19" s="9">
        <v>81</v>
      </c>
      <c r="F19" s="9">
        <v>77</v>
      </c>
      <c r="G19" s="9">
        <v>84</v>
      </c>
      <c r="H19" s="9">
        <v>86</v>
      </c>
      <c r="I19" s="11">
        <v>0.91</v>
      </c>
      <c r="J19" s="9">
        <f t="shared" si="0"/>
        <v>328</v>
      </c>
      <c r="K19" s="11">
        <f t="shared" si="1"/>
        <v>0.82</v>
      </c>
      <c r="L19" s="9" t="str">
        <f t="shared" si="2"/>
        <v>PASS</v>
      </c>
      <c r="M19" s="9" t="str">
        <f t="shared" si="3"/>
        <v>ELIGIBLE</v>
      </c>
      <c r="N19" s="9" t="str" cm="1">
        <f t="array" ref="N19">_xlfn.IFS(I19&gt;=95%,"EXCELLENT",I19&gt;=85%,"VERY GOOD",I19&gt;=75%,"GOOD",I19&gt;=65%,"IMPROVEMENT",I19&gt;=40%,"POOR",I19&gt;=0%,"WORST")</f>
        <v>VERY GOOD</v>
      </c>
      <c r="S19" s="17" t="str">
        <v>S035</v>
      </c>
      <c r="T19" s="17" t="str">
        <v>Parth Verma</v>
      </c>
      <c r="U19" s="17" t="str">
        <v>10B</v>
      </c>
      <c r="V19" s="17" t="str">
        <v>Male</v>
      </c>
      <c r="W19" s="17">
        <v>63</v>
      </c>
      <c r="X19" s="17">
        <v>59</v>
      </c>
      <c r="Y19" s="17">
        <v>66</v>
      </c>
      <c r="Z19" s="17">
        <v>70</v>
      </c>
      <c r="AA19" s="18">
        <v>0.8</v>
      </c>
      <c r="AB19" s="17">
        <v>258</v>
      </c>
      <c r="AC19" s="18">
        <v>0.64500000000000002</v>
      </c>
      <c r="AD19" s="17" t="str">
        <v>PASS</v>
      </c>
      <c r="AE19" s="17" t="str">
        <v>ELIGIBLE</v>
      </c>
      <c r="AF19" s="17" t="str">
        <v>GOOD</v>
      </c>
    </row>
    <row r="20" spans="1:32" ht="20.25" customHeight="1">
      <c r="A20" s="9" t="s">
        <v>50</v>
      </c>
      <c r="B20" s="9" t="s">
        <v>51</v>
      </c>
      <c r="C20" s="9" t="s">
        <v>21</v>
      </c>
      <c r="D20" s="9" t="s">
        <v>12</v>
      </c>
      <c r="E20" s="9">
        <v>35</v>
      </c>
      <c r="F20" s="9">
        <v>42</v>
      </c>
      <c r="G20" s="9">
        <v>39</v>
      </c>
      <c r="H20" s="9">
        <v>48</v>
      </c>
      <c r="I20" s="11">
        <v>0.65</v>
      </c>
      <c r="J20" s="9">
        <f t="shared" si="0"/>
        <v>164</v>
      </c>
      <c r="K20" s="11">
        <f t="shared" si="1"/>
        <v>0.41</v>
      </c>
      <c r="L20" s="9" t="str">
        <f t="shared" si="2"/>
        <v>FAIL</v>
      </c>
      <c r="M20" s="9" t="str">
        <f t="shared" si="3"/>
        <v>NOT ELIGIBLE</v>
      </c>
      <c r="N20" s="9" t="str" cm="1">
        <f t="array" ref="N20">_xlfn.IFS(I20&gt;=95%,"EXCELLENT",I20&gt;=85%,"VERY GOOD",I20&gt;=75%,"GOOD",I20&gt;=65%,"IMPROVEMENT",I20&gt;=40%,"POOR",I20&gt;=0%,"WORST")</f>
        <v>IMPROVEMENT</v>
      </c>
      <c r="S20" s="17" t="str">
        <v>S037</v>
      </c>
      <c r="T20" s="17" t="str">
        <v>Rudransh Gupta</v>
      </c>
      <c r="U20" s="17" t="str">
        <v>10C</v>
      </c>
      <c r="V20" s="17" t="str">
        <v>Male</v>
      </c>
      <c r="W20" s="17">
        <v>41</v>
      </c>
      <c r="X20" s="17">
        <v>48</v>
      </c>
      <c r="Y20" s="17">
        <v>45</v>
      </c>
      <c r="Z20" s="17">
        <v>53</v>
      </c>
      <c r="AA20" s="18">
        <v>0.71</v>
      </c>
      <c r="AB20" s="17">
        <v>187</v>
      </c>
      <c r="AC20" s="18">
        <v>0.46750000000000003</v>
      </c>
      <c r="AD20" s="17" t="str">
        <v>PASS</v>
      </c>
      <c r="AE20" s="17" t="str">
        <v>NOT ELIGIBLE</v>
      </c>
      <c r="AF20" s="17" t="str">
        <v>IMPROVEMENT</v>
      </c>
    </row>
    <row r="21" spans="1:32" ht="20.25" customHeight="1">
      <c r="A21" s="9" t="s">
        <v>52</v>
      </c>
      <c r="B21" s="9" t="s">
        <v>53</v>
      </c>
      <c r="C21" s="9" t="s">
        <v>18</v>
      </c>
      <c r="D21" s="9" t="s">
        <v>15</v>
      </c>
      <c r="E21" s="9">
        <v>72</v>
      </c>
      <c r="F21" s="9">
        <v>75</v>
      </c>
      <c r="G21" s="9">
        <v>70</v>
      </c>
      <c r="H21" s="9">
        <v>78</v>
      </c>
      <c r="I21" s="11">
        <v>0.88</v>
      </c>
      <c r="J21" s="9">
        <f t="shared" si="0"/>
        <v>295</v>
      </c>
      <c r="K21" s="11">
        <f t="shared" si="1"/>
        <v>0.73750000000000004</v>
      </c>
      <c r="L21" s="9" t="str">
        <f t="shared" si="2"/>
        <v>PASS</v>
      </c>
      <c r="M21" s="9" t="str">
        <f t="shared" si="3"/>
        <v>ELIGIBLE</v>
      </c>
      <c r="N21" s="9" t="str" cm="1">
        <f t="array" ref="N21">_xlfn.IFS(I21&gt;=95%,"EXCELLENT",I21&gt;=85%,"VERY GOOD",I21&gt;=75%,"GOOD",I21&gt;=65%,"IMPROVEMENT",I21&gt;=40%,"POOR",I21&gt;=0%,"WORST")</f>
        <v>VERY GOOD</v>
      </c>
      <c r="S21" s="17" t="str">
        <v>S039</v>
      </c>
      <c r="T21" s="17" t="str">
        <v>Samar Iyer</v>
      </c>
      <c r="U21" s="17" t="str">
        <v>10A</v>
      </c>
      <c r="V21" s="17" t="str">
        <v>Male</v>
      </c>
      <c r="W21" s="17">
        <v>67</v>
      </c>
      <c r="X21" s="17">
        <v>72</v>
      </c>
      <c r="Y21" s="17">
        <v>69</v>
      </c>
      <c r="Z21" s="17">
        <v>74</v>
      </c>
      <c r="AA21" s="18">
        <v>0.83</v>
      </c>
      <c r="AB21" s="17">
        <v>282</v>
      </c>
      <c r="AC21" s="18">
        <v>0.70499999999999996</v>
      </c>
      <c r="AD21" s="17" t="str">
        <v>PASS</v>
      </c>
      <c r="AE21" s="17" t="str">
        <v>ELIGIBLE</v>
      </c>
      <c r="AF21" s="17" t="str">
        <v>GOOD</v>
      </c>
    </row>
    <row r="22" spans="1:32" ht="20.25" customHeight="1">
      <c r="A22" s="9" t="s">
        <v>54</v>
      </c>
      <c r="B22" s="9" t="s">
        <v>55</v>
      </c>
      <c r="C22" s="9" t="s">
        <v>11</v>
      </c>
      <c r="D22" s="9" t="s">
        <v>12</v>
      </c>
      <c r="E22" s="9">
        <v>89</v>
      </c>
      <c r="F22" s="9">
        <v>94</v>
      </c>
      <c r="G22" s="9">
        <v>91</v>
      </c>
      <c r="H22" s="9">
        <v>93</v>
      </c>
      <c r="I22" s="11">
        <v>0.96</v>
      </c>
      <c r="J22" s="9">
        <f t="shared" si="0"/>
        <v>367</v>
      </c>
      <c r="K22" s="11">
        <f t="shared" si="1"/>
        <v>0.91749999999999998</v>
      </c>
      <c r="L22" s="9" t="str">
        <f t="shared" si="2"/>
        <v>PASS</v>
      </c>
      <c r="M22" s="9" t="str">
        <f t="shared" si="3"/>
        <v>ELIGIBLE</v>
      </c>
      <c r="N22" s="9" t="str" cm="1">
        <f t="array" ref="N22">_xlfn.IFS(I22&gt;=95%,"EXCELLENT",I22&gt;=85%,"VERY GOOD",I22&gt;=75%,"GOOD",I22&gt;=65%,"IMPROVEMENT",I22&gt;=40%,"POOR",I22&gt;=0%,"WORST")</f>
        <v>EXCELLENT</v>
      </c>
      <c r="S22" s="17" t="str">
        <v>S041</v>
      </c>
      <c r="T22" s="17" t="str">
        <v>Veer Malhotra</v>
      </c>
      <c r="U22" s="17" t="str">
        <v>10B</v>
      </c>
      <c r="V22" s="17" t="str">
        <v>Male</v>
      </c>
      <c r="W22" s="17">
        <v>57</v>
      </c>
      <c r="X22" s="17">
        <v>64</v>
      </c>
      <c r="Y22" s="17">
        <v>61</v>
      </c>
      <c r="Z22" s="17">
        <v>68</v>
      </c>
      <c r="AA22" s="18">
        <v>0.78</v>
      </c>
      <c r="AB22" s="17">
        <v>250</v>
      </c>
      <c r="AC22" s="18">
        <v>0.625</v>
      </c>
      <c r="AD22" s="17" t="str">
        <v>PASS</v>
      </c>
      <c r="AE22" s="17" t="str">
        <v>ELIGIBLE</v>
      </c>
      <c r="AF22" s="17" t="str">
        <v>GOOD</v>
      </c>
    </row>
    <row r="23" spans="1:32" ht="20.25" customHeight="1">
      <c r="A23" s="9" t="s">
        <v>56</v>
      </c>
      <c r="B23" s="9" t="s">
        <v>57</v>
      </c>
      <c r="C23" s="9" t="s">
        <v>21</v>
      </c>
      <c r="D23" s="9" t="s">
        <v>15</v>
      </c>
      <c r="E23" s="9">
        <v>64</v>
      </c>
      <c r="F23" s="9">
        <v>69</v>
      </c>
      <c r="G23" s="9">
        <v>62</v>
      </c>
      <c r="H23" s="9">
        <v>71</v>
      </c>
      <c r="I23" s="11">
        <v>0.82</v>
      </c>
      <c r="J23" s="9">
        <f t="shared" si="0"/>
        <v>266</v>
      </c>
      <c r="K23" s="11">
        <f t="shared" si="1"/>
        <v>0.66500000000000004</v>
      </c>
      <c r="L23" s="9" t="str">
        <f t="shared" si="2"/>
        <v>PASS</v>
      </c>
      <c r="M23" s="9" t="str">
        <f t="shared" si="3"/>
        <v>ELIGIBLE</v>
      </c>
      <c r="N23" s="9" t="str" cm="1">
        <f t="array" ref="N23">_xlfn.IFS(I23&gt;=95%,"EXCELLENT",I23&gt;=85%,"VERY GOOD",I23&gt;=75%,"GOOD",I23&gt;=65%,"IMPROVEMENT",I23&gt;=40%,"POOR",I23&gt;=0%,"WORST")</f>
        <v>GOOD</v>
      </c>
      <c r="S23" s="17" t="str">
        <v>S043</v>
      </c>
      <c r="T23" s="17" t="str">
        <v>Ansh Choudhary</v>
      </c>
      <c r="U23" s="17" t="str">
        <v>10C</v>
      </c>
      <c r="V23" s="17" t="str">
        <v>Male</v>
      </c>
      <c r="W23" s="17">
        <v>46</v>
      </c>
      <c r="X23" s="17">
        <v>53</v>
      </c>
      <c r="Y23" s="17">
        <v>49</v>
      </c>
      <c r="Z23" s="17">
        <v>57</v>
      </c>
      <c r="AA23" s="18">
        <v>0.7</v>
      </c>
      <c r="AB23" s="17">
        <v>205</v>
      </c>
      <c r="AC23" s="18">
        <v>0.51249999999999996</v>
      </c>
      <c r="AD23" s="17" t="str">
        <v>PASS</v>
      </c>
      <c r="AE23" s="17" t="str">
        <v>NOT ELIGIBLE</v>
      </c>
      <c r="AF23" s="17" t="str">
        <v>IMPROVEMENT</v>
      </c>
    </row>
    <row r="24" spans="1:32" ht="20.25" customHeight="1">
      <c r="A24" s="9" t="s">
        <v>58</v>
      </c>
      <c r="B24" s="9" t="s">
        <v>59</v>
      </c>
      <c r="C24" s="9" t="s">
        <v>18</v>
      </c>
      <c r="D24" s="9" t="s">
        <v>12</v>
      </c>
      <c r="E24" s="9">
        <v>58</v>
      </c>
      <c r="F24" s="9">
        <v>61</v>
      </c>
      <c r="G24" s="9">
        <v>55</v>
      </c>
      <c r="H24" s="9">
        <v>67</v>
      </c>
      <c r="I24" s="11">
        <v>0.79</v>
      </c>
      <c r="J24" s="9">
        <f t="shared" si="0"/>
        <v>241</v>
      </c>
      <c r="K24" s="11">
        <f t="shared" si="1"/>
        <v>0.60250000000000004</v>
      </c>
      <c r="L24" s="9" t="str">
        <f t="shared" si="2"/>
        <v>PASS</v>
      </c>
      <c r="M24" s="9" t="str">
        <f t="shared" si="3"/>
        <v>ELIGIBLE</v>
      </c>
      <c r="N24" s="9" t="str" cm="1">
        <f t="array" ref="N24">_xlfn.IFS(I24&gt;=95%,"EXCELLENT",I24&gt;=85%,"VERY GOOD",I24&gt;=75%,"GOOD",I24&gt;=65%,"IMPROVEMENT",I24&gt;=40%,"POOR",I24&gt;=0%,"WORST")</f>
        <v>GOOD</v>
      </c>
      <c r="S24" s="17" t="str">
        <v>S045</v>
      </c>
      <c r="T24" s="17" t="str">
        <v>Shivansh Kapoor</v>
      </c>
      <c r="U24" s="17" t="str">
        <v>10A</v>
      </c>
      <c r="V24" s="17" t="str">
        <v>Male</v>
      </c>
      <c r="W24" s="17">
        <v>87</v>
      </c>
      <c r="X24" s="17">
        <v>90</v>
      </c>
      <c r="Y24" s="17">
        <v>84</v>
      </c>
      <c r="Z24" s="17">
        <v>91</v>
      </c>
      <c r="AA24" s="18">
        <v>0.95</v>
      </c>
      <c r="AB24" s="17">
        <v>352</v>
      </c>
      <c r="AC24" s="18">
        <v>0.88</v>
      </c>
      <c r="AD24" s="17" t="str">
        <v>PASS</v>
      </c>
      <c r="AE24" s="17" t="str">
        <v>ELIGIBLE</v>
      </c>
      <c r="AF24" s="17" t="str">
        <v>EXCELLENT</v>
      </c>
    </row>
    <row r="25" spans="1:32" ht="20.25" customHeight="1">
      <c r="A25" s="9" t="s">
        <v>60</v>
      </c>
      <c r="B25" s="9" t="s">
        <v>61</v>
      </c>
      <c r="C25" s="9" t="s">
        <v>11</v>
      </c>
      <c r="D25" s="9" t="s">
        <v>15</v>
      </c>
      <c r="E25" s="9">
        <v>77</v>
      </c>
      <c r="F25" s="9">
        <v>83</v>
      </c>
      <c r="G25" s="9">
        <v>80</v>
      </c>
      <c r="H25" s="9">
        <v>85</v>
      </c>
      <c r="I25" s="11">
        <v>0.94</v>
      </c>
      <c r="J25" s="9">
        <f t="shared" si="0"/>
        <v>325</v>
      </c>
      <c r="K25" s="11">
        <f t="shared" si="1"/>
        <v>0.8125</v>
      </c>
      <c r="L25" s="9" t="str">
        <f t="shared" si="2"/>
        <v>PASS</v>
      </c>
      <c r="M25" s="9" t="str">
        <f t="shared" si="3"/>
        <v>ELIGIBLE</v>
      </c>
      <c r="N25" s="9" t="str" cm="1">
        <f t="array" ref="N25">_xlfn.IFS(I25&gt;=95%,"EXCELLENT",I25&gt;=85%,"VERY GOOD",I25&gt;=75%,"GOOD",I25&gt;=65%,"IMPROVEMENT",I25&gt;=40%,"POOR",I25&gt;=0%,"WORST")</f>
        <v>VERY GOOD</v>
      </c>
      <c r="S25" s="17" t="str">
        <v>S047</v>
      </c>
      <c r="T25" s="17" t="str">
        <v>Manav Thakur</v>
      </c>
      <c r="U25" s="17" t="str">
        <v>10B</v>
      </c>
      <c r="V25" s="17" t="str">
        <v>Male</v>
      </c>
      <c r="W25" s="17">
        <v>32</v>
      </c>
      <c r="X25" s="17">
        <v>39</v>
      </c>
      <c r="Y25" s="17">
        <v>44</v>
      </c>
      <c r="Z25" s="17">
        <v>47</v>
      </c>
      <c r="AA25" s="18">
        <v>0.64</v>
      </c>
      <c r="AB25" s="17">
        <v>162</v>
      </c>
      <c r="AC25" s="18">
        <v>0.40500000000000003</v>
      </c>
      <c r="AD25" s="17" t="str">
        <v>FAIL</v>
      </c>
      <c r="AE25" s="17" t="str">
        <v>NOT ELIGIBLE</v>
      </c>
      <c r="AF25" s="17" t="str">
        <v>POOR</v>
      </c>
    </row>
    <row r="26" spans="1:32" ht="20.25" customHeight="1">
      <c r="A26" s="9" t="s">
        <v>62</v>
      </c>
      <c r="B26" s="9" t="s">
        <v>63</v>
      </c>
      <c r="C26" s="9" t="s">
        <v>21</v>
      </c>
      <c r="D26" s="9" t="s">
        <v>12</v>
      </c>
      <c r="E26" s="9">
        <v>44</v>
      </c>
      <c r="F26" s="9">
        <v>51</v>
      </c>
      <c r="G26" s="9">
        <v>46</v>
      </c>
      <c r="H26" s="9">
        <v>55</v>
      </c>
      <c r="I26" s="11">
        <v>0.73</v>
      </c>
      <c r="J26" s="9">
        <f t="shared" si="0"/>
        <v>196</v>
      </c>
      <c r="K26" s="11">
        <f t="shared" si="1"/>
        <v>0.49</v>
      </c>
      <c r="L26" s="9" t="str">
        <f t="shared" si="2"/>
        <v>PASS</v>
      </c>
      <c r="M26" s="9" t="str">
        <f t="shared" si="3"/>
        <v>NOT ELIGIBLE</v>
      </c>
      <c r="N26" s="9" t="str" cm="1">
        <f t="array" ref="N26">_xlfn.IFS(I26&gt;=95%,"EXCELLENT",I26&gt;=85%,"VERY GOOD",I26&gt;=75%,"GOOD",I26&gt;=65%,"IMPROVEMENT",I26&gt;=40%,"POOR",I26&gt;=0%,"WORST")</f>
        <v>IMPROVEMENT</v>
      </c>
      <c r="S26" s="17" t="str">
        <v>S049</v>
      </c>
      <c r="T26" s="17" t="str">
        <v>Om Verma</v>
      </c>
      <c r="U26" s="17" t="str">
        <v>10C</v>
      </c>
      <c r="V26" s="17" t="str">
        <v>Male</v>
      </c>
      <c r="W26" s="17">
        <v>62</v>
      </c>
      <c r="X26" s="17">
        <v>68</v>
      </c>
      <c r="Y26" s="17">
        <v>65</v>
      </c>
      <c r="Z26" s="17">
        <v>73</v>
      </c>
      <c r="AA26" s="18">
        <v>0.81</v>
      </c>
      <c r="AB26" s="17">
        <v>268</v>
      </c>
      <c r="AC26" s="18">
        <v>0.67</v>
      </c>
      <c r="AD26" s="17" t="str">
        <v>PASS</v>
      </c>
      <c r="AE26" s="17" t="str">
        <v>ELIGIBLE</v>
      </c>
      <c r="AF26" s="17" t="str">
        <v>GOOD</v>
      </c>
    </row>
    <row r="27" spans="1:32" ht="20.25" customHeight="1">
      <c r="A27" s="9" t="s">
        <v>64</v>
      </c>
      <c r="B27" s="9" t="s">
        <v>65</v>
      </c>
      <c r="C27" s="9" t="s">
        <v>18</v>
      </c>
      <c r="D27" s="9" t="s">
        <v>15</v>
      </c>
      <c r="E27" s="9">
        <v>86</v>
      </c>
      <c r="F27" s="9">
        <v>78</v>
      </c>
      <c r="G27" s="9">
        <v>89</v>
      </c>
      <c r="H27" s="9">
        <v>92</v>
      </c>
      <c r="I27" s="11">
        <v>0.95</v>
      </c>
      <c r="J27" s="9">
        <f t="shared" si="0"/>
        <v>345</v>
      </c>
      <c r="K27" s="11">
        <f t="shared" si="1"/>
        <v>0.86250000000000004</v>
      </c>
      <c r="L27" s="9" t="str">
        <f t="shared" si="2"/>
        <v>PASS</v>
      </c>
      <c r="M27" s="9" t="str">
        <f t="shared" si="3"/>
        <v>ELIGIBLE</v>
      </c>
      <c r="N27" s="9" t="str" cm="1">
        <f t="array" ref="N27">_xlfn.IFS(I27&gt;=95%,"EXCELLENT",I27&gt;=85%,"VERY GOOD",I27&gt;=75%,"GOOD",I27&gt;=65%,"IMPROVEMENT",I27&gt;=40%,"POOR",I27&gt;=0%,"WORST")</f>
        <v>EXCELLENT</v>
      </c>
      <c r="S27" s="17" t="str">
        <v>S051</v>
      </c>
      <c r="T27" s="17" t="str">
        <v>Shrey Gupta</v>
      </c>
      <c r="U27" s="17" t="str">
        <v>10A</v>
      </c>
      <c r="V27" s="17" t="str">
        <v>Male</v>
      </c>
      <c r="W27" s="17">
        <v>84</v>
      </c>
      <c r="X27" s="17">
        <v>89</v>
      </c>
      <c r="Y27" s="17">
        <v>81</v>
      </c>
      <c r="Z27" s="17">
        <v>86</v>
      </c>
      <c r="AA27" s="18">
        <v>0.94</v>
      </c>
      <c r="AB27" s="17">
        <v>340</v>
      </c>
      <c r="AC27" s="18">
        <v>0.85</v>
      </c>
      <c r="AD27" s="17" t="str">
        <v>PASS</v>
      </c>
      <c r="AE27" s="17" t="str">
        <v>ELIGIBLE</v>
      </c>
      <c r="AF27" s="17" t="str">
        <v>VERY GOOD</v>
      </c>
    </row>
    <row r="28" spans="1:32" ht="20.25" customHeight="1">
      <c r="A28" s="9" t="s">
        <v>66</v>
      </c>
      <c r="B28" s="9" t="s">
        <v>67</v>
      </c>
      <c r="C28" s="9" t="s">
        <v>11</v>
      </c>
      <c r="D28" s="9" t="s">
        <v>12</v>
      </c>
      <c r="E28" s="9">
        <v>71</v>
      </c>
      <c r="F28" s="9">
        <v>66</v>
      </c>
      <c r="G28" s="9">
        <v>74</v>
      </c>
      <c r="H28" s="9">
        <v>80</v>
      </c>
      <c r="I28" s="11">
        <v>0.86</v>
      </c>
      <c r="J28" s="9">
        <f t="shared" si="0"/>
        <v>291</v>
      </c>
      <c r="K28" s="11">
        <f t="shared" si="1"/>
        <v>0.72750000000000004</v>
      </c>
      <c r="L28" s="9" t="str">
        <f t="shared" si="2"/>
        <v>PASS</v>
      </c>
      <c r="M28" s="9" t="str">
        <f t="shared" si="3"/>
        <v>ELIGIBLE</v>
      </c>
      <c r="N28" s="9" t="str" cm="1">
        <f t="array" ref="N28">_xlfn.IFS(I28&gt;=95%,"EXCELLENT",I28&gt;=85%,"VERY GOOD",I28&gt;=75%,"GOOD",I28&gt;=65%,"IMPROVEMENT",I28&gt;=40%,"POOR",I28&gt;=0%,"WORST")</f>
        <v>VERY GOOD</v>
      </c>
      <c r="S28" s="17" t="str">
        <v>S053</v>
      </c>
      <c r="T28" s="17" t="str">
        <v>Raghav Joshi</v>
      </c>
      <c r="U28" s="17" t="str">
        <v>10B</v>
      </c>
      <c r="V28" s="17" t="str">
        <v>Male</v>
      </c>
      <c r="W28" s="17">
        <v>73</v>
      </c>
      <c r="X28" s="17">
        <v>70</v>
      </c>
      <c r="Y28" s="17">
        <v>75</v>
      </c>
      <c r="Z28" s="17">
        <v>79</v>
      </c>
      <c r="AA28" s="18">
        <v>0.87</v>
      </c>
      <c r="AB28" s="17">
        <v>297</v>
      </c>
      <c r="AC28" s="18">
        <v>0.74250000000000005</v>
      </c>
      <c r="AD28" s="17" t="str">
        <v>PASS</v>
      </c>
      <c r="AE28" s="17" t="str">
        <v>ELIGIBLE</v>
      </c>
      <c r="AF28" s="17" t="str">
        <v>VERY GOOD</v>
      </c>
    </row>
    <row r="29" spans="1:32" ht="20.25" customHeight="1">
      <c r="A29" s="9" t="s">
        <v>68</v>
      </c>
      <c r="B29" s="9" t="s">
        <v>69</v>
      </c>
      <c r="C29" s="9" t="s">
        <v>21</v>
      </c>
      <c r="D29" s="9" t="s">
        <v>15</v>
      </c>
      <c r="E29" s="9">
        <v>92</v>
      </c>
      <c r="F29" s="9">
        <v>95</v>
      </c>
      <c r="G29" s="9">
        <v>90</v>
      </c>
      <c r="H29" s="9">
        <v>97</v>
      </c>
      <c r="I29" s="11">
        <v>0.99</v>
      </c>
      <c r="J29" s="9">
        <f t="shared" si="0"/>
        <v>374</v>
      </c>
      <c r="K29" s="11">
        <f t="shared" si="1"/>
        <v>0.93500000000000005</v>
      </c>
      <c r="L29" s="9" t="str">
        <f t="shared" si="2"/>
        <v>PASS</v>
      </c>
      <c r="M29" s="9" t="str">
        <f t="shared" si="3"/>
        <v>ELIGIBLE</v>
      </c>
      <c r="N29" s="9" t="str" cm="1">
        <f t="array" ref="N29">_xlfn.IFS(I29&gt;=95%,"EXCELLENT",I29&gt;=85%,"VERY GOOD",I29&gt;=75%,"GOOD",I29&gt;=65%,"IMPROVEMENT",I29&gt;=40%,"POOR",I29&gt;=0%,"WORST")</f>
        <v>EXCELLENT</v>
      </c>
      <c r="S29" s="17" t="str">
        <v>S055</v>
      </c>
      <c r="T29" s="17" t="str">
        <v>Aryan Desai</v>
      </c>
      <c r="U29" s="17" t="str">
        <v>10C</v>
      </c>
      <c r="V29" s="17" t="str">
        <v>Male</v>
      </c>
      <c r="W29" s="17">
        <v>48</v>
      </c>
      <c r="X29" s="17">
        <v>55</v>
      </c>
      <c r="Y29" s="17">
        <v>51</v>
      </c>
      <c r="Z29" s="17">
        <v>59</v>
      </c>
      <c r="AA29" s="18">
        <v>0.74</v>
      </c>
      <c r="AB29" s="17">
        <v>213</v>
      </c>
      <c r="AC29" s="18">
        <v>0.53249999999999997</v>
      </c>
      <c r="AD29" s="17" t="str">
        <v>PASS</v>
      </c>
      <c r="AE29" s="17" t="str">
        <v>NOT ELIGIBLE</v>
      </c>
      <c r="AF29" s="17" t="str">
        <v>IMPROVEMENT</v>
      </c>
    </row>
    <row r="30" spans="1:32" ht="20.25" customHeight="1">
      <c r="A30" s="9" t="s">
        <v>70</v>
      </c>
      <c r="B30" s="9" t="s">
        <v>71</v>
      </c>
      <c r="C30" s="9" t="s">
        <v>18</v>
      </c>
      <c r="D30" s="9" t="s">
        <v>12</v>
      </c>
      <c r="E30" s="9">
        <v>49</v>
      </c>
      <c r="F30" s="9">
        <v>58</v>
      </c>
      <c r="G30" s="9">
        <v>52</v>
      </c>
      <c r="H30" s="9">
        <v>60</v>
      </c>
      <c r="I30" s="11">
        <v>0.75</v>
      </c>
      <c r="J30" s="9">
        <f t="shared" si="0"/>
        <v>219</v>
      </c>
      <c r="K30" s="11">
        <f t="shared" si="1"/>
        <v>0.54749999999999999</v>
      </c>
      <c r="L30" s="9" t="str">
        <f t="shared" si="2"/>
        <v>PASS</v>
      </c>
      <c r="M30" s="9" t="str">
        <f t="shared" si="3"/>
        <v>ELIGIBLE</v>
      </c>
      <c r="N30" s="9" t="str" cm="1">
        <f t="array" ref="N30">_xlfn.IFS(I30&gt;=95%,"EXCELLENT",I30&gt;=85%,"VERY GOOD",I30&gt;=75%,"GOOD",I30&gt;=65%,"IMPROVEMENT",I30&gt;=40%,"POOR",I30&gt;=0%,"WORST")</f>
        <v>GOOD</v>
      </c>
      <c r="S30" s="17" t="str">
        <v>S057</v>
      </c>
      <c r="T30" s="17" t="str">
        <v>Vihaan Mehta</v>
      </c>
      <c r="U30" s="17" t="str">
        <v>10A</v>
      </c>
      <c r="V30" s="17" t="str">
        <v>Male</v>
      </c>
      <c r="W30" s="17">
        <v>66</v>
      </c>
      <c r="X30" s="17">
        <v>71</v>
      </c>
      <c r="Y30" s="17">
        <v>68</v>
      </c>
      <c r="Z30" s="17">
        <v>75</v>
      </c>
      <c r="AA30" s="18">
        <v>0.84</v>
      </c>
      <c r="AB30" s="17">
        <v>280</v>
      </c>
      <c r="AC30" s="18">
        <v>0.7</v>
      </c>
      <c r="AD30" s="17" t="str">
        <v>PASS</v>
      </c>
      <c r="AE30" s="17" t="str">
        <v>ELIGIBLE</v>
      </c>
      <c r="AF30" s="17" t="str">
        <v>GOOD</v>
      </c>
    </row>
    <row r="31" spans="1:32" ht="20.25" customHeight="1">
      <c r="A31" s="9" t="s">
        <v>72</v>
      </c>
      <c r="B31" s="9" t="s">
        <v>73</v>
      </c>
      <c r="C31" s="9" t="s">
        <v>11</v>
      </c>
      <c r="D31" s="9" t="s">
        <v>15</v>
      </c>
      <c r="E31" s="9">
        <v>68</v>
      </c>
      <c r="F31" s="9">
        <v>73</v>
      </c>
      <c r="G31" s="9">
        <v>71</v>
      </c>
      <c r="H31" s="9">
        <v>76</v>
      </c>
      <c r="I31" s="11">
        <v>0.85</v>
      </c>
      <c r="J31" s="9">
        <f t="shared" si="0"/>
        <v>288</v>
      </c>
      <c r="K31" s="11">
        <f t="shared" si="1"/>
        <v>0.72</v>
      </c>
      <c r="L31" s="9" t="str">
        <f t="shared" si="2"/>
        <v>PASS</v>
      </c>
      <c r="M31" s="9" t="str">
        <f t="shared" si="3"/>
        <v>ELIGIBLE</v>
      </c>
      <c r="N31" s="9" t="str" cm="1">
        <f t="array" ref="N31">_xlfn.IFS(I31&gt;=95%,"EXCELLENT",I31&gt;=85%,"VERY GOOD",I31&gt;=75%,"GOOD",I31&gt;=65%,"IMPROVEMENT",I31&gt;=40%,"POOR",I31&gt;=0%,"WORST")</f>
        <v>VERY GOOD</v>
      </c>
      <c r="S31" s="17" t="str">
        <v>S059</v>
      </c>
      <c r="T31" s="17" t="str">
        <v>Advik Patel</v>
      </c>
      <c r="U31" s="17" t="str">
        <v>10B</v>
      </c>
      <c r="V31" s="17" t="str">
        <v>Male</v>
      </c>
      <c r="W31" s="17">
        <v>55</v>
      </c>
      <c r="X31" s="17">
        <v>60</v>
      </c>
      <c r="Y31" s="17">
        <v>53</v>
      </c>
      <c r="Z31" s="17">
        <v>64</v>
      </c>
      <c r="AA31" s="18">
        <v>0.76</v>
      </c>
      <c r="AB31" s="17">
        <v>232</v>
      </c>
      <c r="AC31" s="18">
        <v>0.57999999999999996</v>
      </c>
      <c r="AD31" s="17" t="str">
        <v>PASS</v>
      </c>
      <c r="AE31" s="17" t="str">
        <v>ELIGIBLE</v>
      </c>
      <c r="AF31" s="17" t="str">
        <v>GOOD</v>
      </c>
    </row>
    <row r="32" spans="1:32" ht="20.25" customHeight="1">
      <c r="A32" s="9" t="s">
        <v>74</v>
      </c>
      <c r="B32" s="9" t="s">
        <v>75</v>
      </c>
      <c r="C32" s="9" t="s">
        <v>21</v>
      </c>
      <c r="D32" s="9" t="s">
        <v>12</v>
      </c>
      <c r="E32" s="9">
        <v>79</v>
      </c>
      <c r="F32" s="9">
        <v>82</v>
      </c>
      <c r="G32" s="9">
        <v>77</v>
      </c>
      <c r="H32" s="9">
        <v>84</v>
      </c>
      <c r="I32" s="11">
        <v>0.91</v>
      </c>
      <c r="J32" s="9">
        <f t="shared" si="0"/>
        <v>322</v>
      </c>
      <c r="K32" s="11">
        <f t="shared" si="1"/>
        <v>0.80500000000000005</v>
      </c>
      <c r="L32" s="9" t="str">
        <f t="shared" si="2"/>
        <v>PASS</v>
      </c>
      <c r="M32" s="9" t="str">
        <f t="shared" si="3"/>
        <v>ELIGIBLE</v>
      </c>
      <c r="N32" s="9" t="str" cm="1">
        <f t="array" ref="N32">_xlfn.IFS(I32&gt;=95%,"EXCELLENT",I32&gt;=85%,"VERY GOOD",I32&gt;=75%,"GOOD",I32&gt;=65%,"IMPROVEMENT",I32&gt;=40%,"POOR",I32&gt;=0%,"WORST")</f>
        <v>VERY GOOD</v>
      </c>
      <c r="S32" s="17" t="str">
        <v>S061</v>
      </c>
      <c r="T32" s="17" t="str">
        <v>Ayaan Kapoor</v>
      </c>
      <c r="U32" s="17" t="str">
        <v>10C</v>
      </c>
      <c r="V32" s="17" t="str">
        <v>Male</v>
      </c>
      <c r="W32" s="17">
        <v>93</v>
      </c>
      <c r="X32" s="17">
        <v>90</v>
      </c>
      <c r="Y32" s="17">
        <v>95</v>
      </c>
      <c r="Z32" s="17">
        <v>97</v>
      </c>
      <c r="AA32" s="18">
        <v>0.99</v>
      </c>
      <c r="AB32" s="17">
        <v>375</v>
      </c>
      <c r="AC32" s="18">
        <v>0.9375</v>
      </c>
      <c r="AD32" s="17" t="str">
        <v>PASS</v>
      </c>
      <c r="AE32" s="17" t="str">
        <v>ELIGIBLE</v>
      </c>
      <c r="AF32" s="17" t="str">
        <v>EXCELLENT</v>
      </c>
    </row>
    <row r="33" spans="1:32" ht="20.25" customHeight="1">
      <c r="A33" s="9" t="s">
        <v>76</v>
      </c>
      <c r="B33" s="9" t="s">
        <v>77</v>
      </c>
      <c r="C33" s="9" t="s">
        <v>18</v>
      </c>
      <c r="D33" s="9" t="s">
        <v>15</v>
      </c>
      <c r="E33" s="9">
        <v>85</v>
      </c>
      <c r="F33" s="9">
        <v>87</v>
      </c>
      <c r="G33" s="9">
        <v>83</v>
      </c>
      <c r="H33" s="9">
        <v>89</v>
      </c>
      <c r="I33" s="11">
        <v>0.96</v>
      </c>
      <c r="J33" s="9">
        <f t="shared" si="0"/>
        <v>344</v>
      </c>
      <c r="K33" s="11">
        <f t="shared" si="1"/>
        <v>0.86</v>
      </c>
      <c r="L33" s="9" t="str">
        <f t="shared" si="2"/>
        <v>PASS</v>
      </c>
      <c r="M33" s="9" t="str">
        <f t="shared" si="3"/>
        <v>ELIGIBLE</v>
      </c>
      <c r="N33" s="9" t="str" cm="1">
        <f t="array" ref="N33">_xlfn.IFS(I33&gt;=95%,"EXCELLENT",I33&gt;=85%,"VERY GOOD",I33&gt;=75%,"GOOD",I33&gt;=65%,"IMPROVEMENT",I33&gt;=40%,"POOR",I33&gt;=0%,"WORST")</f>
        <v>EXCELLENT</v>
      </c>
      <c r="S33" s="17" t="str">
        <v>S063</v>
      </c>
      <c r="T33" s="17" t="str">
        <v>Kian Gupta</v>
      </c>
      <c r="U33" s="17" t="str">
        <v>10A</v>
      </c>
      <c r="V33" s="17" t="str">
        <v>Male</v>
      </c>
      <c r="W33" s="17">
        <v>45</v>
      </c>
      <c r="X33" s="17">
        <v>50</v>
      </c>
      <c r="Y33" s="17">
        <v>47</v>
      </c>
      <c r="Z33" s="17">
        <v>56</v>
      </c>
      <c r="AA33" s="18">
        <v>0.72</v>
      </c>
      <c r="AB33" s="17">
        <v>198</v>
      </c>
      <c r="AC33" s="18">
        <v>0.495</v>
      </c>
      <c r="AD33" s="17" t="str">
        <v>PASS</v>
      </c>
      <c r="AE33" s="17" t="str">
        <v>NOT ELIGIBLE</v>
      </c>
      <c r="AF33" s="17" t="str">
        <v>IMPROVEMENT</v>
      </c>
    </row>
    <row r="34" spans="1:32" ht="20.25" customHeight="1">
      <c r="A34" s="9" t="s">
        <v>78</v>
      </c>
      <c r="B34" s="9" t="s">
        <v>79</v>
      </c>
      <c r="C34" s="9" t="s">
        <v>11</v>
      </c>
      <c r="D34" s="9" t="s">
        <v>12</v>
      </c>
      <c r="E34" s="9">
        <v>52</v>
      </c>
      <c r="F34" s="9">
        <v>47</v>
      </c>
      <c r="G34" s="9">
        <v>54</v>
      </c>
      <c r="H34" s="9">
        <v>62</v>
      </c>
      <c r="I34" s="11">
        <v>0.77</v>
      </c>
      <c r="J34" s="9">
        <f t="shared" si="0"/>
        <v>215</v>
      </c>
      <c r="K34" s="11">
        <f t="shared" si="1"/>
        <v>0.53749999999999998</v>
      </c>
      <c r="L34" s="9" t="str">
        <f t="shared" si="2"/>
        <v>PASS</v>
      </c>
      <c r="M34" s="9" t="str">
        <f t="shared" si="3"/>
        <v>ELIGIBLE</v>
      </c>
      <c r="N34" s="9" t="str" cm="1">
        <f t="array" ref="N34">_xlfn.IFS(I34&gt;=95%,"EXCELLENT",I34&gt;=85%,"VERY GOOD",I34&gt;=75%,"GOOD",I34&gt;=65%,"IMPROVEMENT",I34&gt;=40%,"POOR",I34&gt;=0%,"WORST")</f>
        <v>GOOD</v>
      </c>
      <c r="S34" s="17" t="str">
        <v>S065</v>
      </c>
      <c r="T34" s="17" t="str">
        <v>Dev Patel</v>
      </c>
      <c r="U34" s="17" t="str">
        <v>10B</v>
      </c>
      <c r="V34" s="17" t="str">
        <v>Male</v>
      </c>
      <c r="W34" s="17">
        <v>60</v>
      </c>
      <c r="X34" s="17">
        <v>65</v>
      </c>
      <c r="Y34" s="17">
        <v>62</v>
      </c>
      <c r="Z34" s="17">
        <v>69</v>
      </c>
      <c r="AA34" s="18">
        <v>0.8</v>
      </c>
      <c r="AB34" s="17">
        <v>256</v>
      </c>
      <c r="AC34" s="18">
        <v>0.64</v>
      </c>
      <c r="AD34" s="17" t="str">
        <v>PASS</v>
      </c>
      <c r="AE34" s="17" t="str">
        <v>ELIGIBLE</v>
      </c>
      <c r="AF34" s="17" t="str">
        <v>GOOD</v>
      </c>
    </row>
    <row r="35" spans="1:32" ht="20.25" customHeight="1">
      <c r="A35" s="9" t="s">
        <v>80</v>
      </c>
      <c r="B35" s="9" t="s">
        <v>81</v>
      </c>
      <c r="C35" s="9" t="s">
        <v>21</v>
      </c>
      <c r="D35" s="9" t="s">
        <v>15</v>
      </c>
      <c r="E35" s="9">
        <v>74</v>
      </c>
      <c r="F35" s="9">
        <v>79</v>
      </c>
      <c r="G35" s="9">
        <v>76</v>
      </c>
      <c r="H35" s="9">
        <v>81</v>
      </c>
      <c r="I35" s="11">
        <v>0.89</v>
      </c>
      <c r="J35" s="9">
        <f t="shared" si="0"/>
        <v>310</v>
      </c>
      <c r="K35" s="11">
        <f t="shared" si="1"/>
        <v>0.77500000000000002</v>
      </c>
      <c r="L35" s="9" t="str">
        <f t="shared" si="2"/>
        <v>PASS</v>
      </c>
      <c r="M35" s="9" t="str">
        <f t="shared" si="3"/>
        <v>ELIGIBLE</v>
      </c>
      <c r="N35" s="9" t="str" cm="1">
        <f t="array" ref="N35">_xlfn.IFS(I35&gt;=95%,"EXCELLENT",I35&gt;=85%,"VERY GOOD",I35&gt;=75%,"GOOD",I35&gt;=65%,"IMPROVEMENT",I35&gt;=40%,"POOR",I35&gt;=0%,"WORST")</f>
        <v>VERY GOOD</v>
      </c>
      <c r="S35" s="17" t="str">
        <v>S067</v>
      </c>
      <c r="T35" s="17" t="str">
        <v>Arhaan Jain</v>
      </c>
      <c r="U35" s="17" t="str">
        <v>10C</v>
      </c>
      <c r="V35" s="17" t="str">
        <v>Male</v>
      </c>
      <c r="W35" s="17">
        <v>53</v>
      </c>
      <c r="X35" s="17">
        <v>57</v>
      </c>
      <c r="Y35" s="17">
        <v>50</v>
      </c>
      <c r="Z35" s="17">
        <v>61</v>
      </c>
      <c r="AA35" s="18">
        <v>0.75</v>
      </c>
      <c r="AB35" s="17">
        <v>221</v>
      </c>
      <c r="AC35" s="18">
        <v>0.55249999999999999</v>
      </c>
      <c r="AD35" s="17" t="str">
        <v>PASS</v>
      </c>
      <c r="AE35" s="17" t="str">
        <v>ELIGIBLE</v>
      </c>
      <c r="AF35" s="17" t="str">
        <v>GOOD</v>
      </c>
    </row>
    <row r="36" spans="1:32" ht="20.25" customHeight="1">
      <c r="A36" s="9" t="s">
        <v>82</v>
      </c>
      <c r="B36" s="9" t="s">
        <v>83</v>
      </c>
      <c r="C36" s="9" t="s">
        <v>18</v>
      </c>
      <c r="D36" s="9" t="s">
        <v>12</v>
      </c>
      <c r="E36" s="9">
        <v>63</v>
      </c>
      <c r="F36" s="9">
        <v>59</v>
      </c>
      <c r="G36" s="9">
        <v>66</v>
      </c>
      <c r="H36" s="9">
        <v>70</v>
      </c>
      <c r="I36" s="11">
        <v>0.8</v>
      </c>
      <c r="J36" s="9">
        <f t="shared" si="0"/>
        <v>258</v>
      </c>
      <c r="K36" s="11">
        <f t="shared" si="1"/>
        <v>0.64500000000000002</v>
      </c>
      <c r="L36" s="9" t="str">
        <f t="shared" si="2"/>
        <v>PASS</v>
      </c>
      <c r="M36" s="9" t="str">
        <f t="shared" si="3"/>
        <v>ELIGIBLE</v>
      </c>
      <c r="N36" s="9" t="str" cm="1">
        <f t="array" ref="N36">_xlfn.IFS(I36&gt;=95%,"EXCELLENT",I36&gt;=85%,"VERY GOOD",I36&gt;=75%,"GOOD",I36&gt;=65%,"IMPROVEMENT",I36&gt;=40%,"POOR",I36&gt;=0%,"WORST")</f>
        <v>GOOD</v>
      </c>
      <c r="S36" s="17" t="str">
        <v>S069</v>
      </c>
      <c r="T36" s="17" t="str">
        <v>Anay Malhotra</v>
      </c>
      <c r="U36" s="17" t="str">
        <v>10A</v>
      </c>
      <c r="V36" s="17" t="str">
        <v>Male</v>
      </c>
      <c r="W36" s="17">
        <v>68</v>
      </c>
      <c r="X36" s="17">
        <v>74</v>
      </c>
      <c r="Y36" s="17">
        <v>71</v>
      </c>
      <c r="Z36" s="17">
        <v>76</v>
      </c>
      <c r="AA36" s="18">
        <v>0.83</v>
      </c>
      <c r="AB36" s="17">
        <v>289</v>
      </c>
      <c r="AC36" s="18">
        <v>0.72250000000000003</v>
      </c>
      <c r="AD36" s="17" t="str">
        <v>PASS</v>
      </c>
      <c r="AE36" s="17" t="str">
        <v>ELIGIBLE</v>
      </c>
      <c r="AF36" s="17" t="str">
        <v>GOOD</v>
      </c>
    </row>
    <row r="37" spans="1:32" ht="20.25" customHeight="1">
      <c r="A37" s="9" t="s">
        <v>84</v>
      </c>
      <c r="B37" s="9" t="s">
        <v>85</v>
      </c>
      <c r="C37" s="9" t="s">
        <v>11</v>
      </c>
      <c r="D37" s="9" t="s">
        <v>15</v>
      </c>
      <c r="E37" s="9">
        <v>97</v>
      </c>
      <c r="F37" s="9">
        <v>93</v>
      </c>
      <c r="G37" s="9">
        <v>95</v>
      </c>
      <c r="H37" s="9">
        <v>98</v>
      </c>
      <c r="I37" s="11">
        <v>1</v>
      </c>
      <c r="J37" s="9">
        <f t="shared" si="0"/>
        <v>383</v>
      </c>
      <c r="K37" s="11">
        <f t="shared" si="1"/>
        <v>0.95750000000000002</v>
      </c>
      <c r="L37" s="9" t="str">
        <f t="shared" si="2"/>
        <v>PASS</v>
      </c>
      <c r="M37" s="9" t="str">
        <f t="shared" si="3"/>
        <v>ELIGIBLE</v>
      </c>
      <c r="N37" s="9" t="str" cm="1">
        <f t="array" ref="N37">_xlfn.IFS(I37&gt;=95%,"EXCELLENT",I37&gt;=85%,"VERY GOOD",I37&gt;=75%,"GOOD",I37&gt;=65%,"IMPROVEMENT",I37&gt;=40%,"POOR",I37&gt;=0%,"WORST")</f>
        <v>EXCELLENT</v>
      </c>
      <c r="S37" s="17" t="str">
        <v>S071</v>
      </c>
      <c r="T37" s="17" t="str">
        <v>Rajveer Shah</v>
      </c>
      <c r="U37" s="17" t="str">
        <v>10B</v>
      </c>
      <c r="V37" s="17" t="str">
        <v>Male</v>
      </c>
      <c r="W37" s="17">
        <v>39</v>
      </c>
      <c r="X37" s="17">
        <v>46</v>
      </c>
      <c r="Y37" s="17">
        <v>42</v>
      </c>
      <c r="Z37" s="17">
        <v>51</v>
      </c>
      <c r="AA37" s="18">
        <v>0.68</v>
      </c>
      <c r="AB37" s="17">
        <v>178</v>
      </c>
      <c r="AC37" s="18">
        <v>0.44500000000000001</v>
      </c>
      <c r="AD37" s="17" t="str">
        <v>FAIL</v>
      </c>
      <c r="AE37" s="17" t="str">
        <v>NOT ELIGIBLE</v>
      </c>
      <c r="AF37" s="17" t="str">
        <v>IMPROVEMENT</v>
      </c>
    </row>
    <row r="38" spans="1:32" ht="20.25" customHeight="1">
      <c r="A38" s="9" t="s">
        <v>86</v>
      </c>
      <c r="B38" s="9" t="s">
        <v>87</v>
      </c>
      <c r="C38" s="9" t="s">
        <v>21</v>
      </c>
      <c r="D38" s="9" t="s">
        <v>12</v>
      </c>
      <c r="E38" s="9">
        <v>41</v>
      </c>
      <c r="F38" s="9">
        <v>48</v>
      </c>
      <c r="G38" s="9">
        <v>45</v>
      </c>
      <c r="H38" s="9">
        <v>53</v>
      </c>
      <c r="I38" s="11">
        <v>0.71</v>
      </c>
      <c r="J38" s="9">
        <f t="shared" si="0"/>
        <v>187</v>
      </c>
      <c r="K38" s="11">
        <f t="shared" si="1"/>
        <v>0.46750000000000003</v>
      </c>
      <c r="L38" s="9" t="str">
        <f t="shared" si="2"/>
        <v>PASS</v>
      </c>
      <c r="M38" s="9" t="str">
        <f t="shared" si="3"/>
        <v>NOT ELIGIBLE</v>
      </c>
      <c r="N38" s="9" t="str" cm="1">
        <f t="array" ref="N38">_xlfn.IFS(I38&gt;=95%,"EXCELLENT",I38&gt;=85%,"VERY GOOD",I38&gt;=75%,"GOOD",I38&gt;=65%,"IMPROVEMENT",I38&gt;=40%,"POOR",I38&gt;=0%,"WORST")</f>
        <v>IMPROVEMENT</v>
      </c>
      <c r="S38" s="17" t="str">
        <v>S073</v>
      </c>
      <c r="T38" s="17" t="str">
        <v>Atharv Joshi</v>
      </c>
      <c r="U38" s="17" t="str">
        <v>10C</v>
      </c>
      <c r="V38" s="17" t="str">
        <v>Male</v>
      </c>
      <c r="W38" s="17">
        <v>74</v>
      </c>
      <c r="X38" s="17">
        <v>69</v>
      </c>
      <c r="Y38" s="17">
        <v>77</v>
      </c>
      <c r="Z38" s="17">
        <v>82</v>
      </c>
      <c r="AA38" s="18">
        <v>0.89</v>
      </c>
      <c r="AB38" s="17">
        <v>302</v>
      </c>
      <c r="AC38" s="18">
        <v>0.755</v>
      </c>
      <c r="AD38" s="17" t="str">
        <v>PASS</v>
      </c>
      <c r="AE38" s="17" t="str">
        <v>ELIGIBLE</v>
      </c>
      <c r="AF38" s="17" t="str">
        <v>VERY GOOD</v>
      </c>
    </row>
    <row r="39" spans="1:32" ht="20.25" customHeight="1">
      <c r="A39" s="9" t="s">
        <v>88</v>
      </c>
      <c r="B39" s="9" t="s">
        <v>89</v>
      </c>
      <c r="C39" s="9" t="s">
        <v>18</v>
      </c>
      <c r="D39" s="9" t="s">
        <v>15</v>
      </c>
      <c r="E39" s="9">
        <v>80</v>
      </c>
      <c r="F39" s="9">
        <v>84</v>
      </c>
      <c r="G39" s="9">
        <v>78</v>
      </c>
      <c r="H39" s="9">
        <v>87</v>
      </c>
      <c r="I39" s="11">
        <v>0.93</v>
      </c>
      <c r="J39" s="9">
        <f t="shared" si="0"/>
        <v>329</v>
      </c>
      <c r="K39" s="11">
        <f t="shared" si="1"/>
        <v>0.82250000000000001</v>
      </c>
      <c r="L39" s="9" t="str">
        <f t="shared" si="2"/>
        <v>PASS</v>
      </c>
      <c r="M39" s="9" t="str">
        <f t="shared" si="3"/>
        <v>ELIGIBLE</v>
      </c>
      <c r="N39" s="9" t="str" cm="1">
        <f t="array" ref="N39">_xlfn.IFS(I39&gt;=95%,"EXCELLENT",I39&gt;=85%,"VERY GOOD",I39&gt;=75%,"GOOD",I39&gt;=65%,"IMPROVEMENT",I39&gt;=40%,"POOR",I39&gt;=0%,"WORST")</f>
        <v>VERY GOOD</v>
      </c>
      <c r="S39" s="17" t="str">
        <v>S075</v>
      </c>
      <c r="T39" s="17" t="str">
        <v>Arnav Desai</v>
      </c>
      <c r="U39" s="17" t="str">
        <v>10A</v>
      </c>
      <c r="V39" s="17" t="str">
        <v>Male</v>
      </c>
      <c r="W39" s="17">
        <v>58</v>
      </c>
      <c r="X39" s="17">
        <v>54</v>
      </c>
      <c r="Y39" s="17">
        <v>60</v>
      </c>
      <c r="Z39" s="17">
        <v>67</v>
      </c>
      <c r="AA39" s="18">
        <v>0.78</v>
      </c>
      <c r="AB39" s="17">
        <v>239</v>
      </c>
      <c r="AC39" s="18">
        <v>0.59750000000000003</v>
      </c>
      <c r="AD39" s="17" t="str">
        <v>PASS</v>
      </c>
      <c r="AE39" s="17" t="str">
        <v>ELIGIBLE</v>
      </c>
      <c r="AF39" s="17" t="str">
        <v>GOOD</v>
      </c>
    </row>
    <row r="40" spans="1:32" ht="20.25" customHeight="1">
      <c r="A40" s="9" t="s">
        <v>90</v>
      </c>
      <c r="B40" s="9" t="s">
        <v>91</v>
      </c>
      <c r="C40" s="9" t="s">
        <v>11</v>
      </c>
      <c r="D40" s="9" t="s">
        <v>12</v>
      </c>
      <c r="E40" s="9">
        <v>67</v>
      </c>
      <c r="F40" s="9">
        <v>72</v>
      </c>
      <c r="G40" s="9">
        <v>69</v>
      </c>
      <c r="H40" s="9">
        <v>74</v>
      </c>
      <c r="I40" s="11">
        <v>0.83</v>
      </c>
      <c r="J40" s="9">
        <f t="shared" si="0"/>
        <v>282</v>
      </c>
      <c r="K40" s="11">
        <f t="shared" si="1"/>
        <v>0.70499999999999996</v>
      </c>
      <c r="L40" s="9" t="str">
        <f t="shared" si="2"/>
        <v>PASS</v>
      </c>
      <c r="M40" s="9" t="str">
        <f t="shared" si="3"/>
        <v>ELIGIBLE</v>
      </c>
      <c r="N40" s="9" t="str" cm="1">
        <f t="array" ref="N40">_xlfn.IFS(I40&gt;=95%,"EXCELLENT",I40&gt;=85%,"VERY GOOD",I40&gt;=75%,"GOOD",I40&gt;=65%,"IMPROVEMENT",I40&gt;=40%,"POOR",I40&gt;=0%,"WORST")</f>
        <v>GOOD</v>
      </c>
      <c r="S40" s="17" t="str">
        <v>S076</v>
      </c>
      <c r="T40" s="17" t="str">
        <v>Ishaan Verma</v>
      </c>
      <c r="U40" s="17" t="str">
        <v>10C</v>
      </c>
      <c r="V40" s="17" t="str">
        <v>Male</v>
      </c>
      <c r="W40" s="17">
        <v>77</v>
      </c>
      <c r="X40" s="17">
        <v>81</v>
      </c>
      <c r="Y40" s="17">
        <v>75</v>
      </c>
      <c r="Z40" s="17">
        <v>84</v>
      </c>
      <c r="AA40" s="18">
        <v>0.9</v>
      </c>
      <c r="AB40" s="17">
        <v>317</v>
      </c>
      <c r="AC40" s="18">
        <v>0.79249999999999998</v>
      </c>
      <c r="AD40" s="17" t="str">
        <v>PASS</v>
      </c>
      <c r="AE40" s="17" t="str">
        <v>ELIGIBLE</v>
      </c>
      <c r="AF40" s="17" t="str">
        <v>VERY GOOD</v>
      </c>
    </row>
    <row r="41" spans="1:32" ht="20.25" customHeight="1">
      <c r="A41" s="9" t="s">
        <v>92</v>
      </c>
      <c r="B41" s="9" t="s">
        <v>93</v>
      </c>
      <c r="C41" s="9" t="s">
        <v>21</v>
      </c>
      <c r="D41" s="9" t="s">
        <v>15</v>
      </c>
      <c r="E41" s="9">
        <v>90</v>
      </c>
      <c r="F41" s="9">
        <v>86</v>
      </c>
      <c r="G41" s="9">
        <v>92</v>
      </c>
      <c r="H41" s="9">
        <v>95</v>
      </c>
      <c r="I41" s="11">
        <v>0.97</v>
      </c>
      <c r="J41" s="9">
        <f t="shared" si="0"/>
        <v>363</v>
      </c>
      <c r="K41" s="11">
        <f t="shared" si="1"/>
        <v>0.90749999999999997</v>
      </c>
      <c r="L41" s="9" t="str">
        <f t="shared" si="2"/>
        <v>PASS</v>
      </c>
      <c r="M41" s="9" t="str">
        <f t="shared" si="3"/>
        <v>ELIGIBLE</v>
      </c>
      <c r="N41" s="9" t="str" cm="1">
        <f t="array" ref="N41">_xlfn.IFS(I41&gt;=95%,"EXCELLENT",I41&gt;=85%,"VERY GOOD",I41&gt;=75%,"GOOD",I41&gt;=65%,"IMPROVEMENT",I41&gt;=40%,"POOR",I41&gt;=0%,"WORST")</f>
        <v>EXCELLENT</v>
      </c>
      <c r="S41" s="17" t="str">
        <v>S079</v>
      </c>
      <c r="T41" s="17" t="str">
        <v>Rudra Nair</v>
      </c>
      <c r="U41" s="17" t="str">
        <v>10C</v>
      </c>
      <c r="V41" s="17" t="str">
        <v>Male</v>
      </c>
      <c r="W41" s="17">
        <v>43</v>
      </c>
      <c r="X41" s="17">
        <v>49</v>
      </c>
      <c r="Y41" s="17">
        <v>45</v>
      </c>
      <c r="Z41" s="17">
        <v>54</v>
      </c>
      <c r="AA41" s="18">
        <v>0.7</v>
      </c>
      <c r="AB41" s="17">
        <v>191</v>
      </c>
      <c r="AC41" s="18">
        <v>0.47749999999999998</v>
      </c>
      <c r="AD41" s="17" t="str">
        <v>PASS</v>
      </c>
      <c r="AE41" s="17" t="str">
        <v>NOT ELIGIBLE</v>
      </c>
      <c r="AF41" s="17" t="str">
        <v>IMPROVEMENT</v>
      </c>
    </row>
    <row r="42" spans="1:32" ht="20.25" customHeight="1">
      <c r="A42" s="9" t="s">
        <v>94</v>
      </c>
      <c r="B42" s="9" t="s">
        <v>95</v>
      </c>
      <c r="C42" s="9" t="s">
        <v>18</v>
      </c>
      <c r="D42" s="9" t="s">
        <v>12</v>
      </c>
      <c r="E42" s="9">
        <v>57</v>
      </c>
      <c r="F42" s="9">
        <v>64</v>
      </c>
      <c r="G42" s="9">
        <v>61</v>
      </c>
      <c r="H42" s="9">
        <v>68</v>
      </c>
      <c r="I42" s="11">
        <v>0.78</v>
      </c>
      <c r="J42" s="9">
        <f t="shared" si="0"/>
        <v>250</v>
      </c>
      <c r="K42" s="11">
        <f t="shared" si="1"/>
        <v>0.625</v>
      </c>
      <c r="L42" s="9" t="str">
        <f t="shared" si="2"/>
        <v>PASS</v>
      </c>
      <c r="M42" s="9" t="str">
        <f t="shared" si="3"/>
        <v>ELIGIBLE</v>
      </c>
      <c r="N42" s="9" t="str" cm="1">
        <f t="array" ref="N42">_xlfn.IFS(I42&gt;=95%,"EXCELLENT",I42&gt;=85%,"VERY GOOD",I42&gt;=75%,"GOOD",I42&gt;=65%,"IMPROVEMENT",I42&gt;=40%,"POOR",I42&gt;=0%,"WORST")</f>
        <v>GOOD</v>
      </c>
      <c r="S42" s="17" t="str">
        <v>S081</v>
      </c>
      <c r="T42" s="17" t="str">
        <v>Aditya Mehta</v>
      </c>
      <c r="U42" s="17" t="str">
        <v>10A</v>
      </c>
      <c r="V42" s="17" t="str">
        <v>Male</v>
      </c>
      <c r="W42" s="17">
        <v>64</v>
      </c>
      <c r="X42" s="17">
        <v>69</v>
      </c>
      <c r="Y42" s="17">
        <v>66</v>
      </c>
      <c r="Z42" s="17">
        <v>72</v>
      </c>
      <c r="AA42" s="18">
        <v>0.82</v>
      </c>
      <c r="AB42" s="17">
        <v>271</v>
      </c>
      <c r="AC42" s="18">
        <v>0.67749999999999999</v>
      </c>
      <c r="AD42" s="17" t="str">
        <v>PASS</v>
      </c>
      <c r="AE42" s="17" t="str">
        <v>ELIGIBLE</v>
      </c>
      <c r="AF42" s="17" t="str">
        <v>GOOD</v>
      </c>
    </row>
    <row r="43" spans="1:32" ht="20.25" customHeight="1">
      <c r="A43" s="9" t="s">
        <v>96</v>
      </c>
      <c r="B43" s="9" t="s">
        <v>97</v>
      </c>
      <c r="C43" s="9" t="s">
        <v>11</v>
      </c>
      <c r="D43" s="9" t="s">
        <v>15</v>
      </c>
      <c r="E43" s="9">
        <v>83</v>
      </c>
      <c r="F43" s="9">
        <v>80</v>
      </c>
      <c r="G43" s="9">
        <v>86</v>
      </c>
      <c r="H43" s="9">
        <v>88</v>
      </c>
      <c r="I43" s="11">
        <v>0.92</v>
      </c>
      <c r="J43" s="9">
        <f t="shared" si="0"/>
        <v>337</v>
      </c>
      <c r="K43" s="11">
        <f t="shared" si="1"/>
        <v>0.84250000000000003</v>
      </c>
      <c r="L43" s="9" t="str">
        <f t="shared" si="2"/>
        <v>PASS</v>
      </c>
      <c r="M43" s="9" t="str">
        <f t="shared" si="3"/>
        <v>ELIGIBLE</v>
      </c>
      <c r="N43" s="9" t="str" cm="1">
        <f t="array" ref="N43">_xlfn.IFS(I43&gt;=95%,"EXCELLENT",I43&gt;=85%,"VERY GOOD",I43&gt;=75%,"GOOD",I43&gt;=65%,"IMPROVEMENT",I43&gt;=40%,"POOR",I43&gt;=0%,"WORST")</f>
        <v>VERY GOOD</v>
      </c>
      <c r="S43" s="17" t="str">
        <v>S083</v>
      </c>
      <c r="T43" s="17" t="str">
        <v>Kartik Patel</v>
      </c>
      <c r="U43" s="17" t="str">
        <v>10B</v>
      </c>
      <c r="V43" s="17" t="str">
        <v>Male</v>
      </c>
      <c r="W43" s="17">
        <v>51</v>
      </c>
      <c r="X43" s="17">
        <v>56</v>
      </c>
      <c r="Y43" s="17">
        <v>54</v>
      </c>
      <c r="Z43" s="17">
        <v>63</v>
      </c>
      <c r="AA43" s="18">
        <v>0.76</v>
      </c>
      <c r="AB43" s="17">
        <v>224</v>
      </c>
      <c r="AC43" s="18">
        <v>0.56000000000000005</v>
      </c>
      <c r="AD43" s="17" t="str">
        <v>PASS</v>
      </c>
      <c r="AE43" s="17" t="str">
        <v>ELIGIBLE</v>
      </c>
      <c r="AF43" s="17" t="str">
        <v>GOOD</v>
      </c>
    </row>
    <row r="44" spans="1:32" ht="20.25" customHeight="1">
      <c r="A44" s="9" t="s">
        <v>98</v>
      </c>
      <c r="B44" s="9" t="s">
        <v>99</v>
      </c>
      <c r="C44" s="9" t="s">
        <v>21</v>
      </c>
      <c r="D44" s="9" t="s">
        <v>12</v>
      </c>
      <c r="E44" s="9">
        <v>46</v>
      </c>
      <c r="F44" s="9">
        <v>53</v>
      </c>
      <c r="G44" s="9">
        <v>49</v>
      </c>
      <c r="H44" s="9">
        <v>57</v>
      </c>
      <c r="I44" s="11">
        <v>0.7</v>
      </c>
      <c r="J44" s="9">
        <f t="shared" si="0"/>
        <v>205</v>
      </c>
      <c r="K44" s="11">
        <f t="shared" si="1"/>
        <v>0.51249999999999996</v>
      </c>
      <c r="L44" s="9" t="str">
        <f t="shared" si="2"/>
        <v>PASS</v>
      </c>
      <c r="M44" s="9" t="str">
        <f t="shared" si="3"/>
        <v>NOT ELIGIBLE</v>
      </c>
      <c r="N44" s="9" t="str" cm="1">
        <f t="array" ref="N44">_xlfn.IFS(I44&gt;=95%,"EXCELLENT",I44&gt;=85%,"VERY GOOD",I44&gt;=75%,"GOOD",I44&gt;=65%,"IMPROVEMENT",I44&gt;=40%,"POOR",I44&gt;=0%,"WORST")</f>
        <v>IMPROVEMENT</v>
      </c>
      <c r="S44" s="17" t="str">
        <v>S085</v>
      </c>
      <c r="T44" s="17" t="str">
        <v>Hriday Singh</v>
      </c>
      <c r="U44" s="17" t="str">
        <v>10C</v>
      </c>
      <c r="V44" s="17" t="str">
        <v>Male</v>
      </c>
      <c r="W44" s="17">
        <v>72</v>
      </c>
      <c r="X44" s="17">
        <v>77</v>
      </c>
      <c r="Y44" s="17">
        <v>70</v>
      </c>
      <c r="Z44" s="17">
        <v>81</v>
      </c>
      <c r="AA44" s="18">
        <v>0.88</v>
      </c>
      <c r="AB44" s="17">
        <v>300</v>
      </c>
      <c r="AC44" s="18">
        <v>0.75</v>
      </c>
      <c r="AD44" s="17" t="str">
        <v>PASS</v>
      </c>
      <c r="AE44" s="17" t="str">
        <v>ELIGIBLE</v>
      </c>
      <c r="AF44" s="17" t="str">
        <v>VERY GOOD</v>
      </c>
    </row>
    <row r="45" spans="1:32" ht="20.25" customHeight="1">
      <c r="A45" s="9" t="s">
        <v>100</v>
      </c>
      <c r="B45" s="9" t="s">
        <v>101</v>
      </c>
      <c r="C45" s="9" t="s">
        <v>18</v>
      </c>
      <c r="D45" s="9" t="s">
        <v>15</v>
      </c>
      <c r="E45" s="9">
        <v>75</v>
      </c>
      <c r="F45" s="9">
        <v>71</v>
      </c>
      <c r="G45" s="9">
        <v>79</v>
      </c>
      <c r="H45" s="9">
        <v>83</v>
      </c>
      <c r="I45" s="11">
        <v>0.88</v>
      </c>
      <c r="J45" s="9">
        <f t="shared" si="0"/>
        <v>308</v>
      </c>
      <c r="K45" s="11">
        <f t="shared" si="1"/>
        <v>0.77</v>
      </c>
      <c r="L45" s="9" t="str">
        <f t="shared" si="2"/>
        <v>PASS</v>
      </c>
      <c r="M45" s="9" t="str">
        <f t="shared" si="3"/>
        <v>ELIGIBLE</v>
      </c>
      <c r="N45" s="9" t="str" cm="1">
        <f t="array" ref="N45">_xlfn.IFS(I45&gt;=95%,"EXCELLENT",I45&gt;=85%,"VERY GOOD",I45&gt;=75%,"GOOD",I45&gt;=65%,"IMPROVEMENT",I45&gt;=40%,"POOR",I45&gt;=0%,"WORST")</f>
        <v>VERY GOOD</v>
      </c>
      <c r="S45" s="17" t="str">
        <v>S087</v>
      </c>
      <c r="T45" s="17" t="str">
        <v>Arjun Desai</v>
      </c>
      <c r="U45" s="17" t="str">
        <v>10A</v>
      </c>
      <c r="V45" s="17" t="str">
        <v>Male</v>
      </c>
      <c r="W45" s="17">
        <v>46</v>
      </c>
      <c r="X45" s="17">
        <v>52</v>
      </c>
      <c r="Y45" s="17">
        <v>48</v>
      </c>
      <c r="Z45" s="17">
        <v>57</v>
      </c>
      <c r="AA45" s="18">
        <v>0.73</v>
      </c>
      <c r="AB45" s="17">
        <v>203</v>
      </c>
      <c r="AC45" s="18">
        <v>0.50749999999999995</v>
      </c>
      <c r="AD45" s="17" t="str">
        <v>PASS</v>
      </c>
      <c r="AE45" s="17" t="str">
        <v>NOT ELIGIBLE</v>
      </c>
      <c r="AF45" s="17" t="str">
        <v>IMPROVEMENT</v>
      </c>
    </row>
    <row r="46" spans="1:32" ht="20.25" customHeight="1">
      <c r="A46" s="9" t="s">
        <v>102</v>
      </c>
      <c r="B46" s="9" t="s">
        <v>103</v>
      </c>
      <c r="C46" s="9" t="s">
        <v>11</v>
      </c>
      <c r="D46" s="9" t="s">
        <v>12</v>
      </c>
      <c r="E46" s="9">
        <v>87</v>
      </c>
      <c r="F46" s="9">
        <v>90</v>
      </c>
      <c r="G46" s="9">
        <v>84</v>
      </c>
      <c r="H46" s="9">
        <v>91</v>
      </c>
      <c r="I46" s="11">
        <v>0.95</v>
      </c>
      <c r="J46" s="9">
        <f t="shared" si="0"/>
        <v>352</v>
      </c>
      <c r="K46" s="11">
        <f t="shared" si="1"/>
        <v>0.88</v>
      </c>
      <c r="L46" s="9" t="str">
        <f t="shared" si="2"/>
        <v>PASS</v>
      </c>
      <c r="M46" s="9" t="str">
        <f t="shared" si="3"/>
        <v>ELIGIBLE</v>
      </c>
      <c r="N46" s="9" t="str" cm="1">
        <f t="array" ref="N46">_xlfn.IFS(I46&gt;=95%,"EXCELLENT",I46&gt;=85%,"VERY GOOD",I46&gt;=75%,"GOOD",I46&gt;=65%,"IMPROVEMENT",I46&gt;=40%,"POOR",I46&gt;=0%,"WORST")</f>
        <v>EXCELLENT</v>
      </c>
      <c r="S46" s="17" t="str">
        <v>S089</v>
      </c>
      <c r="T46" s="17" t="str">
        <v>Rishaan Gupta</v>
      </c>
      <c r="U46" s="17" t="str">
        <v>10B</v>
      </c>
      <c r="V46" s="17" t="str">
        <v>Male</v>
      </c>
      <c r="W46" s="17">
        <v>61</v>
      </c>
      <c r="X46" s="17">
        <v>66</v>
      </c>
      <c r="Y46" s="17">
        <v>63</v>
      </c>
      <c r="Z46" s="17">
        <v>71</v>
      </c>
      <c r="AA46" s="18">
        <v>0.8</v>
      </c>
      <c r="AB46" s="17">
        <v>261</v>
      </c>
      <c r="AC46" s="18">
        <v>0.65249999999999997</v>
      </c>
      <c r="AD46" s="17" t="str">
        <v>PASS</v>
      </c>
      <c r="AE46" s="17" t="str">
        <v>ELIGIBLE</v>
      </c>
      <c r="AF46" s="17" t="str">
        <v>GOOD</v>
      </c>
    </row>
    <row r="47" spans="1:32" ht="20.25" customHeight="1">
      <c r="A47" s="9" t="s">
        <v>104</v>
      </c>
      <c r="B47" s="9" t="s">
        <v>105</v>
      </c>
      <c r="C47" s="9" t="s">
        <v>21</v>
      </c>
      <c r="D47" s="9" t="s">
        <v>15</v>
      </c>
      <c r="E47" s="9">
        <v>69</v>
      </c>
      <c r="F47" s="9">
        <v>76</v>
      </c>
      <c r="G47" s="9">
        <v>72</v>
      </c>
      <c r="H47" s="9">
        <v>78</v>
      </c>
      <c r="I47" s="11">
        <v>0.86</v>
      </c>
      <c r="J47" s="9">
        <f t="shared" si="0"/>
        <v>295</v>
      </c>
      <c r="K47" s="11">
        <f t="shared" si="1"/>
        <v>0.73750000000000004</v>
      </c>
      <c r="L47" s="9" t="str">
        <f t="shared" si="2"/>
        <v>PASS</v>
      </c>
      <c r="M47" s="9" t="str">
        <f t="shared" si="3"/>
        <v>ELIGIBLE</v>
      </c>
      <c r="N47" s="9" t="str" cm="1">
        <f t="array" ref="N47">_xlfn.IFS(I47&gt;=95%,"EXCELLENT",I47&gt;=85%,"VERY GOOD",I47&gt;=75%,"GOOD",I47&gt;=65%,"IMPROVEMENT",I47&gt;=40%,"POOR",I47&gt;=0%,"WORST")</f>
        <v>VERY GOOD</v>
      </c>
      <c r="S47" s="17" t="str">
        <v>S091</v>
      </c>
      <c r="T47" s="17" t="str">
        <v>Kabir Nair</v>
      </c>
      <c r="U47" s="17" t="str">
        <v>10C</v>
      </c>
      <c r="V47" s="17" t="str">
        <v>Male</v>
      </c>
      <c r="W47" s="17">
        <v>56</v>
      </c>
      <c r="X47" s="17">
        <v>62</v>
      </c>
      <c r="Y47" s="17">
        <v>58</v>
      </c>
      <c r="Z47" s="17">
        <v>65</v>
      </c>
      <c r="AA47" s="18">
        <v>0.77</v>
      </c>
      <c r="AB47" s="17">
        <v>241</v>
      </c>
      <c r="AC47" s="18">
        <v>0.60250000000000004</v>
      </c>
      <c r="AD47" s="17" t="str">
        <v>PASS</v>
      </c>
      <c r="AE47" s="17" t="str">
        <v>ELIGIBLE</v>
      </c>
      <c r="AF47" s="17" t="str">
        <v>GOOD</v>
      </c>
    </row>
    <row r="48" spans="1:32" ht="20.25" customHeight="1">
      <c r="A48" s="9" t="s">
        <v>106</v>
      </c>
      <c r="B48" s="9" t="s">
        <v>107</v>
      </c>
      <c r="C48" s="9" t="s">
        <v>18</v>
      </c>
      <c r="D48" s="9" t="s">
        <v>12</v>
      </c>
      <c r="E48" s="9">
        <v>32</v>
      </c>
      <c r="F48" s="9">
        <v>39</v>
      </c>
      <c r="G48" s="9">
        <v>44</v>
      </c>
      <c r="H48" s="9">
        <v>47</v>
      </c>
      <c r="I48" s="11">
        <v>0.64</v>
      </c>
      <c r="J48" s="9">
        <f t="shared" si="0"/>
        <v>162</v>
      </c>
      <c r="K48" s="11">
        <f t="shared" si="1"/>
        <v>0.40500000000000003</v>
      </c>
      <c r="L48" s="9" t="str">
        <f t="shared" si="2"/>
        <v>FAIL</v>
      </c>
      <c r="M48" s="9" t="str">
        <f t="shared" si="3"/>
        <v>NOT ELIGIBLE</v>
      </c>
      <c r="N48" s="9" t="str" cm="1">
        <f t="array" ref="N48">_xlfn.IFS(I48&gt;=95%,"EXCELLENT",I48&gt;=85%,"VERY GOOD",I48&gt;=75%,"GOOD",I48&gt;=65%,"IMPROVEMENT",I48&gt;=40%,"POOR",I48&gt;=0%,"WORST")</f>
        <v>POOR</v>
      </c>
      <c r="S48" s="17" t="str">
        <v>S093</v>
      </c>
      <c r="T48" s="17" t="str">
        <v>Armaan Kapoor</v>
      </c>
      <c r="U48" s="17" t="str">
        <v>10A</v>
      </c>
      <c r="V48" s="17" t="str">
        <v>Male</v>
      </c>
      <c r="W48" s="17">
        <v>69</v>
      </c>
      <c r="X48" s="17">
        <v>73</v>
      </c>
      <c r="Y48" s="17">
        <v>67</v>
      </c>
      <c r="Z48" s="17">
        <v>76</v>
      </c>
      <c r="AA48" s="18">
        <v>0.84</v>
      </c>
      <c r="AB48" s="17">
        <v>285</v>
      </c>
      <c r="AC48" s="18">
        <v>0.71250000000000002</v>
      </c>
      <c r="AD48" s="17" t="str">
        <v>PASS</v>
      </c>
      <c r="AE48" s="17" t="str">
        <v>ELIGIBLE</v>
      </c>
      <c r="AF48" s="17" t="str">
        <v>GOOD</v>
      </c>
    </row>
    <row r="49" spans="1:32" ht="20.25" customHeight="1">
      <c r="A49" s="9" t="s">
        <v>108</v>
      </c>
      <c r="B49" s="9" t="s">
        <v>109</v>
      </c>
      <c r="C49" s="9" t="s">
        <v>11</v>
      </c>
      <c r="D49" s="9" t="s">
        <v>15</v>
      </c>
      <c r="E49" s="9">
        <v>94</v>
      </c>
      <c r="F49" s="9">
        <v>96</v>
      </c>
      <c r="G49" s="9">
        <v>91</v>
      </c>
      <c r="H49" s="9">
        <v>93</v>
      </c>
      <c r="I49" s="11">
        <v>0.99</v>
      </c>
      <c r="J49" s="9">
        <f t="shared" si="0"/>
        <v>374</v>
      </c>
      <c r="K49" s="11">
        <f t="shared" si="1"/>
        <v>0.93500000000000005</v>
      </c>
      <c r="L49" s="9" t="str">
        <f t="shared" si="2"/>
        <v>PASS</v>
      </c>
      <c r="M49" s="9" t="str">
        <f t="shared" si="3"/>
        <v>ELIGIBLE</v>
      </c>
      <c r="N49" s="9" t="str" cm="1">
        <f t="array" ref="N49">_xlfn.IFS(I49&gt;=95%,"EXCELLENT",I49&gt;=85%,"VERY GOOD",I49&gt;=75%,"GOOD",I49&gt;=65%,"IMPROVEMENT",I49&gt;=40%,"POOR",I49&gt;=0%,"WORST")</f>
        <v>EXCELLENT</v>
      </c>
      <c r="S49" s="17" t="str">
        <v>S095</v>
      </c>
      <c r="T49" s="17" t="str">
        <v>Reyansh Shah</v>
      </c>
      <c r="U49" s="17" t="str">
        <v>10B</v>
      </c>
      <c r="V49" s="17" t="str">
        <v>Male</v>
      </c>
      <c r="W49" s="17">
        <v>37</v>
      </c>
      <c r="X49" s="17">
        <v>44</v>
      </c>
      <c r="Y49" s="17">
        <v>41</v>
      </c>
      <c r="Z49" s="17">
        <v>50</v>
      </c>
      <c r="AA49" s="18">
        <v>0.67</v>
      </c>
      <c r="AB49" s="17">
        <v>172</v>
      </c>
      <c r="AC49" s="18">
        <v>0.43</v>
      </c>
      <c r="AD49" s="17" t="str">
        <v>FAIL</v>
      </c>
      <c r="AE49" s="17" t="str">
        <v>NOT ELIGIBLE</v>
      </c>
      <c r="AF49" s="17" t="str">
        <v>IMPROVEMENT</v>
      </c>
    </row>
    <row r="50" spans="1:32" ht="20.25" customHeight="1">
      <c r="A50" s="9" t="s">
        <v>110</v>
      </c>
      <c r="B50" s="9" t="s">
        <v>111</v>
      </c>
      <c r="C50" s="9" t="s">
        <v>21</v>
      </c>
      <c r="D50" s="9" t="s">
        <v>12</v>
      </c>
      <c r="E50" s="9">
        <v>62</v>
      </c>
      <c r="F50" s="9">
        <v>68</v>
      </c>
      <c r="G50" s="9">
        <v>65</v>
      </c>
      <c r="H50" s="9">
        <v>73</v>
      </c>
      <c r="I50" s="11">
        <v>0.81</v>
      </c>
      <c r="J50" s="9">
        <f t="shared" si="0"/>
        <v>268</v>
      </c>
      <c r="K50" s="11">
        <f t="shared" si="1"/>
        <v>0.67</v>
      </c>
      <c r="L50" s="9" t="str">
        <f t="shared" si="2"/>
        <v>PASS</v>
      </c>
      <c r="M50" s="9" t="str">
        <f t="shared" si="3"/>
        <v>ELIGIBLE</v>
      </c>
      <c r="N50" s="9" t="str" cm="1">
        <f t="array" ref="N50">_xlfn.IFS(I50&gt;=95%,"EXCELLENT",I50&gt;=85%,"VERY GOOD",I50&gt;=75%,"GOOD",I50&gt;=65%,"IMPROVEMENT",I50&gt;=40%,"POOR",I50&gt;=0%,"WORST")</f>
        <v>GOOD</v>
      </c>
      <c r="S50" s="17" t="str">
        <v>S097</v>
      </c>
      <c r="T50" s="17" t="str">
        <v>Vihaan Patel</v>
      </c>
      <c r="U50" s="17" t="str">
        <v>10C</v>
      </c>
      <c r="V50" s="17" t="str">
        <v>Male</v>
      </c>
      <c r="W50" s="17">
        <v>88</v>
      </c>
      <c r="X50" s="17">
        <v>86</v>
      </c>
      <c r="Y50" s="17">
        <v>90</v>
      </c>
      <c r="Z50" s="17">
        <v>92</v>
      </c>
      <c r="AA50" s="18">
        <v>0.96</v>
      </c>
      <c r="AB50" s="17">
        <v>356</v>
      </c>
      <c r="AC50" s="18">
        <v>0.89</v>
      </c>
      <c r="AD50" s="17" t="str">
        <v>PASS</v>
      </c>
      <c r="AE50" s="17" t="str">
        <v>ELIGIBLE</v>
      </c>
      <c r="AF50" s="17" t="str">
        <v>EXCELLENT</v>
      </c>
    </row>
    <row r="51" spans="1:32" ht="20.25" customHeight="1">
      <c r="A51" s="9" t="s">
        <v>112</v>
      </c>
      <c r="B51" s="9" t="s">
        <v>113</v>
      </c>
      <c r="C51" s="9" t="s">
        <v>18</v>
      </c>
      <c r="D51" s="9" t="s">
        <v>15</v>
      </c>
      <c r="E51" s="9">
        <v>78</v>
      </c>
      <c r="F51" s="9">
        <v>74</v>
      </c>
      <c r="G51" s="9">
        <v>82</v>
      </c>
      <c r="H51" s="9">
        <v>85</v>
      </c>
      <c r="I51" s="11">
        <v>0.9</v>
      </c>
      <c r="J51" s="9">
        <f t="shared" si="0"/>
        <v>319</v>
      </c>
      <c r="K51" s="11">
        <f t="shared" si="1"/>
        <v>0.79749999999999999</v>
      </c>
      <c r="L51" s="9" t="str">
        <f t="shared" si="2"/>
        <v>PASS</v>
      </c>
      <c r="M51" s="9" t="str">
        <f t="shared" si="3"/>
        <v>ELIGIBLE</v>
      </c>
      <c r="N51" s="9" t="str" cm="1">
        <f t="array" ref="N51">_xlfn.IFS(I51&gt;=95%,"EXCELLENT",I51&gt;=85%,"VERY GOOD",I51&gt;=75%,"GOOD",I51&gt;=65%,"IMPROVEMENT",I51&gt;=40%,"POOR",I51&gt;=0%,"WORST")</f>
        <v>VERY GOOD</v>
      </c>
      <c r="S51" s="17" t="str">
        <v>S099</v>
      </c>
      <c r="T51" s="17" t="str">
        <v>Arnav Nair</v>
      </c>
      <c r="U51" s="17" t="str">
        <v>10A</v>
      </c>
      <c r="V51" s="17" t="str">
        <v>Male</v>
      </c>
      <c r="W51" s="17">
        <v>80</v>
      </c>
      <c r="X51" s="17">
        <v>78</v>
      </c>
      <c r="Y51" s="17">
        <v>84</v>
      </c>
      <c r="Z51" s="17">
        <v>87</v>
      </c>
      <c r="AA51" s="18">
        <v>0.9</v>
      </c>
      <c r="AB51" s="17">
        <v>329</v>
      </c>
      <c r="AC51" s="18">
        <v>0.82250000000000001</v>
      </c>
      <c r="AD51" s="17" t="str">
        <v>PASS</v>
      </c>
      <c r="AE51" s="17" t="str">
        <v>ELIGIBLE</v>
      </c>
      <c r="AF51" s="17" t="str">
        <v>VERY GOOD</v>
      </c>
    </row>
    <row r="52" spans="1:32" ht="20.25" customHeight="1">
      <c r="A52" s="9" t="s">
        <v>114</v>
      </c>
      <c r="B52" s="9" t="s">
        <v>115</v>
      </c>
      <c r="C52" s="9" t="s">
        <v>11</v>
      </c>
      <c r="D52" s="9" t="s">
        <v>12</v>
      </c>
      <c r="E52" s="9">
        <v>84</v>
      </c>
      <c r="F52" s="9">
        <v>89</v>
      </c>
      <c r="G52" s="9">
        <v>81</v>
      </c>
      <c r="H52" s="9">
        <v>86</v>
      </c>
      <c r="I52" s="11">
        <v>0.94</v>
      </c>
      <c r="J52" s="9">
        <f t="shared" si="0"/>
        <v>340</v>
      </c>
      <c r="K52" s="11">
        <f t="shared" si="1"/>
        <v>0.85</v>
      </c>
      <c r="L52" s="9" t="str">
        <f t="shared" si="2"/>
        <v>PASS</v>
      </c>
      <c r="M52" s="9" t="str">
        <f t="shared" si="3"/>
        <v>ELIGIBLE</v>
      </c>
      <c r="N52" s="9" t="str" cm="1">
        <f t="array" ref="N52">_xlfn.IFS(I52&gt;=95%,"EXCELLENT",I52&gt;=85%,"VERY GOOD",I52&gt;=75%,"GOOD",I52&gt;=65%,"IMPROVEMENT",I52&gt;=40%,"POOR",I52&gt;=0%,"WORST")</f>
        <v>VERY GOOD</v>
      </c>
    </row>
    <row r="53" spans="1:32" ht="20.25" customHeight="1">
      <c r="A53" s="9" t="s">
        <v>116</v>
      </c>
      <c r="B53" s="9" t="s">
        <v>117</v>
      </c>
      <c r="C53" s="9" t="s">
        <v>21</v>
      </c>
      <c r="D53" s="9" t="s">
        <v>15</v>
      </c>
      <c r="E53" s="9">
        <v>59</v>
      </c>
      <c r="F53" s="9">
        <v>63</v>
      </c>
      <c r="G53" s="9">
        <v>58</v>
      </c>
      <c r="H53" s="9">
        <v>66</v>
      </c>
      <c r="I53" s="11">
        <v>0.77</v>
      </c>
      <c r="J53" s="9">
        <f t="shared" si="0"/>
        <v>246</v>
      </c>
      <c r="K53" s="11">
        <f t="shared" si="1"/>
        <v>0.61499999999999999</v>
      </c>
      <c r="L53" s="9" t="str">
        <f t="shared" si="2"/>
        <v>PASS</v>
      </c>
      <c r="M53" s="9" t="str">
        <f t="shared" si="3"/>
        <v>ELIGIBLE</v>
      </c>
      <c r="N53" s="9" t="str" cm="1">
        <f t="array" ref="N53">_xlfn.IFS(I53&gt;=95%,"EXCELLENT",I53&gt;=85%,"VERY GOOD",I53&gt;=75%,"GOOD",I53&gt;=65%,"IMPROVEMENT",I53&gt;=40%,"POOR",I53&gt;=0%,"WORST")</f>
        <v>GOOD</v>
      </c>
    </row>
    <row r="54" spans="1:32" ht="20.25" customHeight="1">
      <c r="A54" s="9" t="s">
        <v>118</v>
      </c>
      <c r="B54" s="9" t="s">
        <v>119</v>
      </c>
      <c r="C54" s="9" t="s">
        <v>18</v>
      </c>
      <c r="D54" s="9" t="s">
        <v>12</v>
      </c>
      <c r="E54" s="9">
        <v>73</v>
      </c>
      <c r="F54" s="9">
        <v>70</v>
      </c>
      <c r="G54" s="9">
        <v>75</v>
      </c>
      <c r="H54" s="9">
        <v>79</v>
      </c>
      <c r="I54" s="11">
        <v>0.87</v>
      </c>
      <c r="J54" s="9">
        <f t="shared" si="0"/>
        <v>297</v>
      </c>
      <c r="K54" s="11">
        <f t="shared" si="1"/>
        <v>0.74250000000000005</v>
      </c>
      <c r="L54" s="9" t="str">
        <f t="shared" si="2"/>
        <v>PASS</v>
      </c>
      <c r="M54" s="9" t="str">
        <f t="shared" si="3"/>
        <v>ELIGIBLE</v>
      </c>
      <c r="N54" s="9" t="str" cm="1">
        <f t="array" ref="N54">_xlfn.IFS(I54&gt;=95%,"EXCELLENT",I54&gt;=85%,"VERY GOOD",I54&gt;=75%,"GOOD",I54&gt;=65%,"IMPROVEMENT",I54&gt;=40%,"POOR",I54&gt;=0%,"WORST")</f>
        <v>VERY GOOD</v>
      </c>
    </row>
    <row r="55" spans="1:32" ht="20.25" customHeight="1">
      <c r="A55" s="9" t="s">
        <v>120</v>
      </c>
      <c r="B55" s="9" t="s">
        <v>121</v>
      </c>
      <c r="C55" s="9" t="s">
        <v>11</v>
      </c>
      <c r="D55" s="9" t="s">
        <v>15</v>
      </c>
      <c r="E55" s="9">
        <v>91</v>
      </c>
      <c r="F55" s="9">
        <v>94</v>
      </c>
      <c r="G55" s="9">
        <v>89</v>
      </c>
      <c r="H55" s="9">
        <v>96</v>
      </c>
      <c r="I55" s="11">
        <v>0.98</v>
      </c>
      <c r="J55" s="9">
        <f t="shared" si="0"/>
        <v>370</v>
      </c>
      <c r="K55" s="11">
        <f t="shared" si="1"/>
        <v>0.92500000000000004</v>
      </c>
      <c r="L55" s="9" t="str">
        <f t="shared" si="2"/>
        <v>PASS</v>
      </c>
      <c r="M55" s="9" t="str">
        <f t="shared" si="3"/>
        <v>ELIGIBLE</v>
      </c>
      <c r="N55" s="9" t="str" cm="1">
        <f t="array" ref="N55">_xlfn.IFS(I55&gt;=95%,"EXCELLENT",I55&gt;=85%,"VERY GOOD",I55&gt;=75%,"GOOD",I55&gt;=65%,"IMPROVEMENT",I55&gt;=40%,"POOR",I55&gt;=0%,"WORST")</f>
        <v>EXCELLENT</v>
      </c>
    </row>
    <row r="56" spans="1:32" ht="20.25" customHeight="1">
      <c r="A56" s="9" t="s">
        <v>122</v>
      </c>
      <c r="B56" s="9" t="s">
        <v>123</v>
      </c>
      <c r="C56" s="9" t="s">
        <v>21</v>
      </c>
      <c r="D56" s="9" t="s">
        <v>12</v>
      </c>
      <c r="E56" s="9">
        <v>48</v>
      </c>
      <c r="F56" s="9">
        <v>55</v>
      </c>
      <c r="G56" s="9">
        <v>51</v>
      </c>
      <c r="H56" s="9">
        <v>59</v>
      </c>
      <c r="I56" s="11">
        <v>0.74</v>
      </c>
      <c r="J56" s="9">
        <f t="shared" si="0"/>
        <v>213</v>
      </c>
      <c r="K56" s="11">
        <f t="shared" si="1"/>
        <v>0.53249999999999997</v>
      </c>
      <c r="L56" s="9" t="str">
        <f t="shared" si="2"/>
        <v>PASS</v>
      </c>
      <c r="M56" s="9" t="str">
        <f t="shared" si="3"/>
        <v>NOT ELIGIBLE</v>
      </c>
      <c r="N56" s="9" t="str" cm="1">
        <f t="array" ref="N56">_xlfn.IFS(I56&gt;=95%,"EXCELLENT",I56&gt;=85%,"VERY GOOD",I56&gt;=75%,"GOOD",I56&gt;=65%,"IMPROVEMENT",I56&gt;=40%,"POOR",I56&gt;=0%,"WORST")</f>
        <v>IMPROVEMENT</v>
      </c>
    </row>
    <row r="57" spans="1:32" ht="20.25" customHeight="1">
      <c r="A57" s="9" t="s">
        <v>124</v>
      </c>
      <c r="B57" s="9" t="s">
        <v>125</v>
      </c>
      <c r="C57" s="9" t="s">
        <v>18</v>
      </c>
      <c r="D57" s="9" t="s">
        <v>15</v>
      </c>
      <c r="E57" s="9">
        <v>82</v>
      </c>
      <c r="F57" s="9">
        <v>78</v>
      </c>
      <c r="G57" s="9">
        <v>85</v>
      </c>
      <c r="H57" s="9">
        <v>90</v>
      </c>
      <c r="I57" s="11">
        <v>0.93</v>
      </c>
      <c r="J57" s="9">
        <f t="shared" si="0"/>
        <v>335</v>
      </c>
      <c r="K57" s="11">
        <f t="shared" si="1"/>
        <v>0.83750000000000002</v>
      </c>
      <c r="L57" s="9" t="str">
        <f t="shared" si="2"/>
        <v>PASS</v>
      </c>
      <c r="M57" s="9" t="str">
        <f t="shared" si="3"/>
        <v>ELIGIBLE</v>
      </c>
      <c r="N57" s="9" t="str" cm="1">
        <f t="array" ref="N57">_xlfn.IFS(I57&gt;=95%,"EXCELLENT",I57&gt;=85%,"VERY GOOD",I57&gt;=75%,"GOOD",I57&gt;=65%,"IMPROVEMENT",I57&gt;=40%,"POOR",I57&gt;=0%,"WORST")</f>
        <v>VERY GOOD</v>
      </c>
    </row>
    <row r="58" spans="1:32" ht="20.25" customHeight="1">
      <c r="A58" s="9" t="s">
        <v>126</v>
      </c>
      <c r="B58" s="9" t="s">
        <v>127</v>
      </c>
      <c r="C58" s="9" t="s">
        <v>11</v>
      </c>
      <c r="D58" s="9" t="s">
        <v>12</v>
      </c>
      <c r="E58" s="9">
        <v>66</v>
      </c>
      <c r="F58" s="9">
        <v>71</v>
      </c>
      <c r="G58" s="9">
        <v>68</v>
      </c>
      <c r="H58" s="9">
        <v>75</v>
      </c>
      <c r="I58" s="11">
        <v>0.84</v>
      </c>
      <c r="J58" s="9">
        <f t="shared" si="0"/>
        <v>280</v>
      </c>
      <c r="K58" s="11">
        <f t="shared" si="1"/>
        <v>0.7</v>
      </c>
      <c r="L58" s="9" t="str">
        <f t="shared" si="2"/>
        <v>PASS</v>
      </c>
      <c r="M58" s="9" t="str">
        <f t="shared" si="3"/>
        <v>ELIGIBLE</v>
      </c>
      <c r="N58" s="9" t="str" cm="1">
        <f t="array" ref="N58">_xlfn.IFS(I58&gt;=95%,"EXCELLENT",I58&gt;=85%,"VERY GOOD",I58&gt;=75%,"GOOD",I58&gt;=65%,"IMPROVEMENT",I58&gt;=40%,"POOR",I58&gt;=0%,"WORST")</f>
        <v>GOOD</v>
      </c>
    </row>
    <row r="59" spans="1:32" ht="20.25" customHeight="1">
      <c r="A59" s="9" t="s">
        <v>128</v>
      </c>
      <c r="B59" s="9" t="s">
        <v>129</v>
      </c>
      <c r="C59" s="9" t="s">
        <v>21</v>
      </c>
      <c r="D59" s="9" t="s">
        <v>15</v>
      </c>
      <c r="E59" s="9">
        <v>89</v>
      </c>
      <c r="F59" s="9">
        <v>85</v>
      </c>
      <c r="G59" s="9">
        <v>93</v>
      </c>
      <c r="H59" s="9">
        <v>92</v>
      </c>
      <c r="I59" s="11">
        <v>0.97</v>
      </c>
      <c r="J59" s="9">
        <f t="shared" si="0"/>
        <v>359</v>
      </c>
      <c r="K59" s="11">
        <f t="shared" si="1"/>
        <v>0.89749999999999996</v>
      </c>
      <c r="L59" s="9" t="str">
        <f t="shared" si="2"/>
        <v>PASS</v>
      </c>
      <c r="M59" s="9" t="str">
        <f t="shared" si="3"/>
        <v>ELIGIBLE</v>
      </c>
      <c r="N59" s="9" t="str" cm="1">
        <f t="array" ref="N59">_xlfn.IFS(I59&gt;=95%,"EXCELLENT",I59&gt;=85%,"VERY GOOD",I59&gt;=75%,"GOOD",I59&gt;=65%,"IMPROVEMENT",I59&gt;=40%,"POOR",I59&gt;=0%,"WORST")</f>
        <v>EXCELLENT</v>
      </c>
    </row>
    <row r="60" spans="1:32" ht="20.25" customHeight="1">
      <c r="A60" s="9" t="s">
        <v>130</v>
      </c>
      <c r="B60" s="9" t="s">
        <v>131</v>
      </c>
      <c r="C60" s="9" t="s">
        <v>18</v>
      </c>
      <c r="D60" s="9" t="s">
        <v>12</v>
      </c>
      <c r="E60" s="9">
        <v>55</v>
      </c>
      <c r="F60" s="9">
        <v>60</v>
      </c>
      <c r="G60" s="9">
        <v>53</v>
      </c>
      <c r="H60" s="9">
        <v>64</v>
      </c>
      <c r="I60" s="11">
        <v>0.76</v>
      </c>
      <c r="J60" s="9">
        <f t="shared" si="0"/>
        <v>232</v>
      </c>
      <c r="K60" s="11">
        <f t="shared" si="1"/>
        <v>0.57999999999999996</v>
      </c>
      <c r="L60" s="9" t="str">
        <f t="shared" si="2"/>
        <v>PASS</v>
      </c>
      <c r="M60" s="9" t="str">
        <f t="shared" si="3"/>
        <v>ELIGIBLE</v>
      </c>
      <c r="N60" s="9" t="str" cm="1">
        <f t="array" ref="N60">_xlfn.IFS(I60&gt;=95%,"EXCELLENT",I60&gt;=85%,"VERY GOOD",I60&gt;=75%,"GOOD",I60&gt;=65%,"IMPROVEMENT",I60&gt;=40%,"POOR",I60&gt;=0%,"WORST")</f>
        <v>GOOD</v>
      </c>
    </row>
    <row r="61" spans="1:32" ht="20.25" customHeight="1">
      <c r="A61" s="9" t="s">
        <v>132</v>
      </c>
      <c r="B61" s="9" t="s">
        <v>133</v>
      </c>
      <c r="C61" s="9" t="s">
        <v>11</v>
      </c>
      <c r="D61" s="9" t="s">
        <v>15</v>
      </c>
      <c r="E61" s="9">
        <v>76</v>
      </c>
      <c r="F61" s="9">
        <v>82</v>
      </c>
      <c r="G61" s="9">
        <v>79</v>
      </c>
      <c r="H61" s="9">
        <v>84</v>
      </c>
      <c r="I61" s="11">
        <v>0.91</v>
      </c>
      <c r="J61" s="9">
        <f t="shared" si="0"/>
        <v>321</v>
      </c>
      <c r="K61" s="11">
        <f t="shared" si="1"/>
        <v>0.80249999999999999</v>
      </c>
      <c r="L61" s="9" t="str">
        <f t="shared" si="2"/>
        <v>PASS</v>
      </c>
      <c r="M61" s="9" t="str">
        <f t="shared" si="3"/>
        <v>ELIGIBLE</v>
      </c>
      <c r="N61" s="9" t="str" cm="1">
        <f t="array" ref="N61">_xlfn.IFS(I61&gt;=95%,"EXCELLENT",I61&gt;=85%,"VERY GOOD",I61&gt;=75%,"GOOD",I61&gt;=65%,"IMPROVEMENT",I61&gt;=40%,"POOR",I61&gt;=0%,"WORST")</f>
        <v>VERY GOOD</v>
      </c>
    </row>
    <row r="62" spans="1:32" ht="20.25" customHeight="1">
      <c r="A62" s="9" t="s">
        <v>134</v>
      </c>
      <c r="B62" s="9" t="s">
        <v>135</v>
      </c>
      <c r="C62" s="9" t="s">
        <v>21</v>
      </c>
      <c r="D62" s="9" t="s">
        <v>12</v>
      </c>
      <c r="E62" s="9">
        <v>93</v>
      </c>
      <c r="F62" s="9">
        <v>90</v>
      </c>
      <c r="G62" s="9">
        <v>95</v>
      </c>
      <c r="H62" s="9">
        <v>97</v>
      </c>
      <c r="I62" s="11">
        <v>0.99</v>
      </c>
      <c r="J62" s="9">
        <f t="shared" si="0"/>
        <v>375</v>
      </c>
      <c r="K62" s="11">
        <f t="shared" si="1"/>
        <v>0.9375</v>
      </c>
      <c r="L62" s="9" t="str">
        <f t="shared" si="2"/>
        <v>PASS</v>
      </c>
      <c r="M62" s="9" t="str">
        <f t="shared" si="3"/>
        <v>ELIGIBLE</v>
      </c>
      <c r="N62" s="9" t="str" cm="1">
        <f t="array" ref="N62">_xlfn.IFS(I62&gt;=95%,"EXCELLENT",I62&gt;=85%,"VERY GOOD",I62&gt;=75%,"GOOD",I62&gt;=65%,"IMPROVEMENT",I62&gt;=40%,"POOR",I62&gt;=0%,"WORST")</f>
        <v>EXCELLENT</v>
      </c>
    </row>
    <row r="63" spans="1:32" ht="20.25" customHeight="1">
      <c r="A63" s="9" t="s">
        <v>136</v>
      </c>
      <c r="B63" s="9" t="s">
        <v>137</v>
      </c>
      <c r="C63" s="9" t="s">
        <v>18</v>
      </c>
      <c r="D63" s="9" t="s">
        <v>15</v>
      </c>
      <c r="E63" s="9">
        <v>71</v>
      </c>
      <c r="F63" s="9">
        <v>67</v>
      </c>
      <c r="G63" s="9">
        <v>73</v>
      </c>
      <c r="H63" s="9">
        <v>77</v>
      </c>
      <c r="I63" s="11">
        <v>0.85</v>
      </c>
      <c r="J63" s="9">
        <f t="shared" si="0"/>
        <v>288</v>
      </c>
      <c r="K63" s="11">
        <f t="shared" si="1"/>
        <v>0.72</v>
      </c>
      <c r="L63" s="9" t="str">
        <f t="shared" si="2"/>
        <v>PASS</v>
      </c>
      <c r="M63" s="9" t="str">
        <f t="shared" si="3"/>
        <v>ELIGIBLE</v>
      </c>
      <c r="N63" s="9" t="str" cm="1">
        <f t="array" ref="N63">_xlfn.IFS(I63&gt;=95%,"EXCELLENT",I63&gt;=85%,"VERY GOOD",I63&gt;=75%,"GOOD",I63&gt;=65%,"IMPROVEMENT",I63&gt;=40%,"POOR",I63&gt;=0%,"WORST")</f>
        <v>VERY GOOD</v>
      </c>
    </row>
    <row r="64" spans="1:32" ht="20.25" customHeight="1">
      <c r="A64" s="9" t="s">
        <v>138</v>
      </c>
      <c r="B64" s="9" t="s">
        <v>139</v>
      </c>
      <c r="C64" s="9" t="s">
        <v>11</v>
      </c>
      <c r="D64" s="9" t="s">
        <v>12</v>
      </c>
      <c r="E64" s="9">
        <v>45</v>
      </c>
      <c r="F64" s="9">
        <v>50</v>
      </c>
      <c r="G64" s="9">
        <v>47</v>
      </c>
      <c r="H64" s="9">
        <v>56</v>
      </c>
      <c r="I64" s="11">
        <v>0.72</v>
      </c>
      <c r="J64" s="9">
        <f t="shared" si="0"/>
        <v>198</v>
      </c>
      <c r="K64" s="11">
        <f t="shared" si="1"/>
        <v>0.495</v>
      </c>
      <c r="L64" s="9" t="str">
        <f t="shared" si="2"/>
        <v>PASS</v>
      </c>
      <c r="M64" s="9" t="str">
        <f t="shared" si="3"/>
        <v>NOT ELIGIBLE</v>
      </c>
      <c r="N64" s="9" t="str" cm="1">
        <f t="array" ref="N64">_xlfn.IFS(I64&gt;=95%,"EXCELLENT",I64&gt;=85%,"VERY GOOD",I64&gt;=75%,"GOOD",I64&gt;=65%,"IMPROVEMENT",I64&gt;=40%,"POOR",I64&gt;=0%,"WORST")</f>
        <v>IMPROVEMENT</v>
      </c>
    </row>
    <row r="65" spans="1:14" ht="20.25" customHeight="1">
      <c r="A65" s="9" t="s">
        <v>140</v>
      </c>
      <c r="B65" s="9" t="s">
        <v>141</v>
      </c>
      <c r="C65" s="9" t="s">
        <v>21</v>
      </c>
      <c r="D65" s="9" t="s">
        <v>15</v>
      </c>
      <c r="E65" s="9">
        <v>86</v>
      </c>
      <c r="F65" s="9">
        <v>91</v>
      </c>
      <c r="G65" s="9">
        <v>88</v>
      </c>
      <c r="H65" s="9">
        <v>94</v>
      </c>
      <c r="I65" s="11">
        <v>0.96</v>
      </c>
      <c r="J65" s="9">
        <f t="shared" si="0"/>
        <v>359</v>
      </c>
      <c r="K65" s="11">
        <f t="shared" si="1"/>
        <v>0.89749999999999996</v>
      </c>
      <c r="L65" s="9" t="str">
        <f t="shared" si="2"/>
        <v>PASS</v>
      </c>
      <c r="M65" s="9" t="str">
        <f t="shared" si="3"/>
        <v>ELIGIBLE</v>
      </c>
      <c r="N65" s="9" t="str" cm="1">
        <f t="array" ref="N65">_xlfn.IFS(I65&gt;=95%,"EXCELLENT",I65&gt;=85%,"VERY GOOD",I65&gt;=75%,"GOOD",I65&gt;=65%,"IMPROVEMENT",I65&gt;=40%,"POOR",I65&gt;=0%,"WORST")</f>
        <v>EXCELLENT</v>
      </c>
    </row>
    <row r="66" spans="1:14" ht="20.25" customHeight="1">
      <c r="A66" s="9" t="s">
        <v>142</v>
      </c>
      <c r="B66" s="9" t="s">
        <v>143</v>
      </c>
      <c r="C66" s="9" t="s">
        <v>18</v>
      </c>
      <c r="D66" s="9" t="s">
        <v>12</v>
      </c>
      <c r="E66" s="9">
        <v>60</v>
      </c>
      <c r="F66" s="9">
        <v>65</v>
      </c>
      <c r="G66" s="9">
        <v>62</v>
      </c>
      <c r="H66" s="9">
        <v>69</v>
      </c>
      <c r="I66" s="11">
        <v>0.8</v>
      </c>
      <c r="J66" s="9">
        <f t="shared" si="0"/>
        <v>256</v>
      </c>
      <c r="K66" s="11">
        <f t="shared" si="1"/>
        <v>0.64</v>
      </c>
      <c r="L66" s="9" t="str">
        <f t="shared" si="2"/>
        <v>PASS</v>
      </c>
      <c r="M66" s="9" t="str">
        <f t="shared" si="3"/>
        <v>ELIGIBLE</v>
      </c>
      <c r="N66" s="9" t="str" cm="1">
        <f t="array" ref="N66">_xlfn.IFS(I66&gt;=95%,"EXCELLENT",I66&gt;=85%,"VERY GOOD",I66&gt;=75%,"GOOD",I66&gt;=65%,"IMPROVEMENT",I66&gt;=40%,"POOR",I66&gt;=0%,"WORST")</f>
        <v>GOOD</v>
      </c>
    </row>
    <row r="67" spans="1:14" ht="20.25" customHeight="1">
      <c r="A67" s="9" t="s">
        <v>144</v>
      </c>
      <c r="B67" s="9" t="s">
        <v>145</v>
      </c>
      <c r="C67" s="9" t="s">
        <v>11</v>
      </c>
      <c r="D67" s="9" t="s">
        <v>15</v>
      </c>
      <c r="E67" s="9">
        <v>79</v>
      </c>
      <c r="F67" s="9">
        <v>84</v>
      </c>
      <c r="G67" s="9">
        <v>81</v>
      </c>
      <c r="H67" s="9">
        <v>87</v>
      </c>
      <c r="I67" s="11">
        <v>0.92</v>
      </c>
      <c r="J67" s="9">
        <f t="shared" ref="J67:J101" si="4">SUM(E67:H67)</f>
        <v>331</v>
      </c>
      <c r="K67" s="11">
        <f t="shared" ref="K67:K101" si="5">J67/400</f>
        <v>0.82750000000000001</v>
      </c>
      <c r="L67" s="9" t="str">
        <f t="shared" ref="L67:L101" si="6">IF(MIN(E67:H67)&gt;=40,"PASS","FAIL")</f>
        <v>PASS</v>
      </c>
      <c r="M67" s="9" t="str">
        <f t="shared" ref="M67:M101" si="7">IF(I67&gt;=75%,"ELIGIBLE","NOT ELIGIBLE")</f>
        <v>ELIGIBLE</v>
      </c>
      <c r="N67" s="9" t="str" cm="1">
        <f t="array" ref="N67">_xlfn.IFS(I67&gt;=95%,"EXCELLENT",I67&gt;=85%,"VERY GOOD",I67&gt;=75%,"GOOD",I67&gt;=65%,"IMPROVEMENT",I67&gt;=40%,"POOR",I67&gt;=0%,"WORST")</f>
        <v>VERY GOOD</v>
      </c>
    </row>
    <row r="68" spans="1:14" ht="20.25" customHeight="1">
      <c r="A68" s="9" t="s">
        <v>146</v>
      </c>
      <c r="B68" s="9" t="s">
        <v>147</v>
      </c>
      <c r="C68" s="9" t="s">
        <v>21</v>
      </c>
      <c r="D68" s="9" t="s">
        <v>12</v>
      </c>
      <c r="E68" s="9">
        <v>53</v>
      </c>
      <c r="F68" s="9">
        <v>57</v>
      </c>
      <c r="G68" s="9">
        <v>50</v>
      </c>
      <c r="H68" s="9">
        <v>61</v>
      </c>
      <c r="I68" s="11">
        <v>0.75</v>
      </c>
      <c r="J68" s="9">
        <f t="shared" si="4"/>
        <v>221</v>
      </c>
      <c r="K68" s="11">
        <f t="shared" si="5"/>
        <v>0.55249999999999999</v>
      </c>
      <c r="L68" s="9" t="str">
        <f t="shared" si="6"/>
        <v>PASS</v>
      </c>
      <c r="M68" s="9" t="str">
        <f t="shared" si="7"/>
        <v>ELIGIBLE</v>
      </c>
      <c r="N68" s="9" t="str" cm="1">
        <f t="array" ref="N68">_xlfn.IFS(I68&gt;=95%,"EXCELLENT",I68&gt;=85%,"VERY GOOD",I68&gt;=75%,"GOOD",I68&gt;=65%,"IMPROVEMENT",I68&gt;=40%,"POOR",I68&gt;=0%,"WORST")</f>
        <v>GOOD</v>
      </c>
    </row>
    <row r="69" spans="1:14" ht="20.25" customHeight="1">
      <c r="A69" s="9" t="s">
        <v>148</v>
      </c>
      <c r="B69" s="9" t="s">
        <v>149</v>
      </c>
      <c r="C69" s="9" t="s">
        <v>18</v>
      </c>
      <c r="D69" s="9" t="s">
        <v>15</v>
      </c>
      <c r="E69" s="9">
        <v>88</v>
      </c>
      <c r="F69" s="9">
        <v>92</v>
      </c>
      <c r="G69" s="9">
        <v>86</v>
      </c>
      <c r="H69" s="9">
        <v>90</v>
      </c>
      <c r="I69" s="11">
        <v>0.98</v>
      </c>
      <c r="J69" s="9">
        <f t="shared" si="4"/>
        <v>356</v>
      </c>
      <c r="K69" s="11">
        <f t="shared" si="5"/>
        <v>0.89</v>
      </c>
      <c r="L69" s="9" t="str">
        <f t="shared" si="6"/>
        <v>PASS</v>
      </c>
      <c r="M69" s="9" t="str">
        <f t="shared" si="7"/>
        <v>ELIGIBLE</v>
      </c>
      <c r="N69" s="9" t="str" cm="1">
        <f t="array" ref="N69">_xlfn.IFS(I69&gt;=95%,"EXCELLENT",I69&gt;=85%,"VERY GOOD",I69&gt;=75%,"GOOD",I69&gt;=65%,"IMPROVEMENT",I69&gt;=40%,"POOR",I69&gt;=0%,"WORST")</f>
        <v>EXCELLENT</v>
      </c>
    </row>
    <row r="70" spans="1:14" ht="20.25" customHeight="1">
      <c r="A70" s="9" t="s">
        <v>150</v>
      </c>
      <c r="B70" s="9" t="s">
        <v>151</v>
      </c>
      <c r="C70" s="9" t="s">
        <v>11</v>
      </c>
      <c r="D70" s="9" t="s">
        <v>12</v>
      </c>
      <c r="E70" s="9">
        <v>68</v>
      </c>
      <c r="F70" s="9">
        <v>74</v>
      </c>
      <c r="G70" s="9">
        <v>71</v>
      </c>
      <c r="H70" s="9">
        <v>76</v>
      </c>
      <c r="I70" s="11">
        <v>0.83</v>
      </c>
      <c r="J70" s="9">
        <f t="shared" si="4"/>
        <v>289</v>
      </c>
      <c r="K70" s="11">
        <f t="shared" si="5"/>
        <v>0.72250000000000003</v>
      </c>
      <c r="L70" s="9" t="str">
        <f t="shared" si="6"/>
        <v>PASS</v>
      </c>
      <c r="M70" s="9" t="str">
        <f t="shared" si="7"/>
        <v>ELIGIBLE</v>
      </c>
      <c r="N70" s="9" t="str" cm="1">
        <f t="array" ref="N70">_xlfn.IFS(I70&gt;=95%,"EXCELLENT",I70&gt;=85%,"VERY GOOD",I70&gt;=75%,"GOOD",I70&gt;=65%,"IMPROVEMENT",I70&gt;=40%,"POOR",I70&gt;=0%,"WORST")</f>
        <v>GOOD</v>
      </c>
    </row>
    <row r="71" spans="1:14" ht="20.25" customHeight="1">
      <c r="A71" s="9" t="s">
        <v>152</v>
      </c>
      <c r="B71" s="9" t="s">
        <v>153</v>
      </c>
      <c r="C71" s="9" t="s">
        <v>21</v>
      </c>
      <c r="D71" s="9" t="s">
        <v>15</v>
      </c>
      <c r="E71" s="9">
        <v>95</v>
      </c>
      <c r="F71" s="9">
        <v>89</v>
      </c>
      <c r="G71" s="9">
        <v>94</v>
      </c>
      <c r="H71" s="9">
        <v>96</v>
      </c>
      <c r="I71" s="11">
        <v>0.99</v>
      </c>
      <c r="J71" s="9">
        <f t="shared" si="4"/>
        <v>374</v>
      </c>
      <c r="K71" s="11">
        <f t="shared" si="5"/>
        <v>0.93500000000000005</v>
      </c>
      <c r="L71" s="9" t="str">
        <f t="shared" si="6"/>
        <v>PASS</v>
      </c>
      <c r="M71" s="9" t="str">
        <f t="shared" si="7"/>
        <v>ELIGIBLE</v>
      </c>
      <c r="N71" s="9" t="str" cm="1">
        <f t="array" ref="N71">_xlfn.IFS(I71&gt;=95%,"EXCELLENT",I71&gt;=85%,"VERY GOOD",I71&gt;=75%,"GOOD",I71&gt;=65%,"IMPROVEMENT",I71&gt;=40%,"POOR",I71&gt;=0%,"WORST")</f>
        <v>EXCELLENT</v>
      </c>
    </row>
    <row r="72" spans="1:14" ht="20.25" customHeight="1">
      <c r="A72" s="9" t="s">
        <v>154</v>
      </c>
      <c r="B72" s="9" t="s">
        <v>155</v>
      </c>
      <c r="C72" s="9" t="s">
        <v>18</v>
      </c>
      <c r="D72" s="9" t="s">
        <v>12</v>
      </c>
      <c r="E72" s="9">
        <v>39</v>
      </c>
      <c r="F72" s="9">
        <v>46</v>
      </c>
      <c r="G72" s="9">
        <v>42</v>
      </c>
      <c r="H72" s="9">
        <v>51</v>
      </c>
      <c r="I72" s="11">
        <v>0.68</v>
      </c>
      <c r="J72" s="9">
        <f t="shared" si="4"/>
        <v>178</v>
      </c>
      <c r="K72" s="11">
        <f t="shared" si="5"/>
        <v>0.44500000000000001</v>
      </c>
      <c r="L72" s="9" t="str">
        <f t="shared" si="6"/>
        <v>FAIL</v>
      </c>
      <c r="M72" s="9" t="str">
        <f t="shared" si="7"/>
        <v>NOT ELIGIBLE</v>
      </c>
      <c r="N72" s="9" t="str" cm="1">
        <f t="array" ref="N72">_xlfn.IFS(I72&gt;=95%,"EXCELLENT",I72&gt;=85%,"VERY GOOD",I72&gt;=75%,"GOOD",I72&gt;=65%,"IMPROVEMENT",I72&gt;=40%,"POOR",I72&gt;=0%,"WORST")</f>
        <v>IMPROVEMENT</v>
      </c>
    </row>
    <row r="73" spans="1:14" ht="20.25" customHeight="1">
      <c r="A73" s="9" t="s">
        <v>156</v>
      </c>
      <c r="B73" s="9" t="s">
        <v>157</v>
      </c>
      <c r="C73" s="9" t="s">
        <v>11</v>
      </c>
      <c r="D73" s="9" t="s">
        <v>15</v>
      </c>
      <c r="E73" s="9">
        <v>81</v>
      </c>
      <c r="F73" s="9">
        <v>86</v>
      </c>
      <c r="G73" s="9">
        <v>83</v>
      </c>
      <c r="H73" s="9">
        <v>88</v>
      </c>
      <c r="I73" s="11">
        <v>0.94</v>
      </c>
      <c r="J73" s="9">
        <f t="shared" si="4"/>
        <v>338</v>
      </c>
      <c r="K73" s="11">
        <f t="shared" si="5"/>
        <v>0.84499999999999997</v>
      </c>
      <c r="L73" s="9" t="str">
        <f t="shared" si="6"/>
        <v>PASS</v>
      </c>
      <c r="M73" s="9" t="str">
        <f t="shared" si="7"/>
        <v>ELIGIBLE</v>
      </c>
      <c r="N73" s="9" t="str" cm="1">
        <f t="array" ref="N73">_xlfn.IFS(I73&gt;=95%,"EXCELLENT",I73&gt;=85%,"VERY GOOD",I73&gt;=75%,"GOOD",I73&gt;=65%,"IMPROVEMENT",I73&gt;=40%,"POOR",I73&gt;=0%,"WORST")</f>
        <v>VERY GOOD</v>
      </c>
    </row>
    <row r="74" spans="1:14" ht="20.25" customHeight="1">
      <c r="A74" s="9" t="s">
        <v>158</v>
      </c>
      <c r="B74" s="9" t="s">
        <v>159</v>
      </c>
      <c r="C74" s="9" t="s">
        <v>21</v>
      </c>
      <c r="D74" s="9" t="s">
        <v>12</v>
      </c>
      <c r="E74" s="9">
        <v>74</v>
      </c>
      <c r="F74" s="9">
        <v>69</v>
      </c>
      <c r="G74" s="9">
        <v>77</v>
      </c>
      <c r="H74" s="9">
        <v>82</v>
      </c>
      <c r="I74" s="11">
        <v>0.89</v>
      </c>
      <c r="J74" s="9">
        <f t="shared" si="4"/>
        <v>302</v>
      </c>
      <c r="K74" s="11">
        <f t="shared" si="5"/>
        <v>0.755</v>
      </c>
      <c r="L74" s="9" t="str">
        <f t="shared" si="6"/>
        <v>PASS</v>
      </c>
      <c r="M74" s="9" t="str">
        <f t="shared" si="7"/>
        <v>ELIGIBLE</v>
      </c>
      <c r="N74" s="9" t="str" cm="1">
        <f t="array" ref="N74">_xlfn.IFS(I74&gt;=95%,"EXCELLENT",I74&gt;=85%,"VERY GOOD",I74&gt;=75%,"GOOD",I74&gt;=65%,"IMPROVEMENT",I74&gt;=40%,"POOR",I74&gt;=0%,"WORST")</f>
        <v>VERY GOOD</v>
      </c>
    </row>
    <row r="75" spans="1:14" ht="20.25" customHeight="1">
      <c r="A75" s="9" t="s">
        <v>160</v>
      </c>
      <c r="B75" s="9" t="s">
        <v>161</v>
      </c>
      <c r="C75" s="9" t="s">
        <v>18</v>
      </c>
      <c r="D75" s="9" t="s">
        <v>15</v>
      </c>
      <c r="E75" s="9">
        <v>92</v>
      </c>
      <c r="F75" s="9">
        <v>96</v>
      </c>
      <c r="G75" s="9">
        <v>91</v>
      </c>
      <c r="H75" s="9">
        <v>95</v>
      </c>
      <c r="I75" s="11">
        <v>0.98</v>
      </c>
      <c r="J75" s="9">
        <f t="shared" si="4"/>
        <v>374</v>
      </c>
      <c r="K75" s="11">
        <f t="shared" si="5"/>
        <v>0.93500000000000005</v>
      </c>
      <c r="L75" s="9" t="str">
        <f t="shared" si="6"/>
        <v>PASS</v>
      </c>
      <c r="M75" s="9" t="str">
        <f t="shared" si="7"/>
        <v>ELIGIBLE</v>
      </c>
      <c r="N75" s="9" t="str" cm="1">
        <f t="array" ref="N75">_xlfn.IFS(I75&gt;=95%,"EXCELLENT",I75&gt;=85%,"VERY GOOD",I75&gt;=75%,"GOOD",I75&gt;=65%,"IMPROVEMENT",I75&gt;=40%,"POOR",I75&gt;=0%,"WORST")</f>
        <v>EXCELLENT</v>
      </c>
    </row>
    <row r="76" spans="1:14" ht="20.25" customHeight="1">
      <c r="A76" s="9" t="s">
        <v>162</v>
      </c>
      <c r="B76" s="9" t="s">
        <v>163</v>
      </c>
      <c r="C76" s="9" t="s">
        <v>11</v>
      </c>
      <c r="D76" s="9" t="s">
        <v>12</v>
      </c>
      <c r="E76" s="9">
        <v>58</v>
      </c>
      <c r="F76" s="9">
        <v>54</v>
      </c>
      <c r="G76" s="9">
        <v>60</v>
      </c>
      <c r="H76" s="9">
        <v>67</v>
      </c>
      <c r="I76" s="11">
        <v>0.78</v>
      </c>
      <c r="J76" s="9">
        <f t="shared" si="4"/>
        <v>239</v>
      </c>
      <c r="K76" s="11">
        <f t="shared" si="5"/>
        <v>0.59750000000000003</v>
      </c>
      <c r="L76" s="9" t="str">
        <f t="shared" si="6"/>
        <v>PASS</v>
      </c>
      <c r="M76" s="9" t="str">
        <f t="shared" si="7"/>
        <v>ELIGIBLE</v>
      </c>
      <c r="N76" s="9" t="str" cm="1">
        <f t="array" ref="N76">_xlfn.IFS(I76&gt;=95%,"EXCELLENT",I76&gt;=85%,"VERY GOOD",I76&gt;=75%,"GOOD",I76&gt;=65%,"IMPROVEMENT",I76&gt;=40%,"POOR",I76&gt;=0%,"WORST")</f>
        <v>GOOD</v>
      </c>
    </row>
    <row r="77" spans="1:14" ht="20.25" customHeight="1">
      <c r="A77" s="9" t="s">
        <v>164</v>
      </c>
      <c r="B77" s="9" t="s">
        <v>165</v>
      </c>
      <c r="C77" s="9" t="s">
        <v>21</v>
      </c>
      <c r="D77" s="9" t="s">
        <v>12</v>
      </c>
      <c r="E77" s="9">
        <v>77</v>
      </c>
      <c r="F77" s="9">
        <v>81</v>
      </c>
      <c r="G77" s="9">
        <v>75</v>
      </c>
      <c r="H77" s="9">
        <v>84</v>
      </c>
      <c r="I77" s="11">
        <v>0.9</v>
      </c>
      <c r="J77" s="9">
        <f t="shared" si="4"/>
        <v>317</v>
      </c>
      <c r="K77" s="11">
        <f t="shared" si="5"/>
        <v>0.79249999999999998</v>
      </c>
      <c r="L77" s="9" t="str">
        <f t="shared" si="6"/>
        <v>PASS</v>
      </c>
      <c r="M77" s="9" t="str">
        <f t="shared" si="7"/>
        <v>ELIGIBLE</v>
      </c>
      <c r="N77" s="9" t="str" cm="1">
        <f t="array" ref="N77">_xlfn.IFS(I77&gt;=95%,"EXCELLENT",I77&gt;=85%,"VERY GOOD",I77&gt;=75%,"GOOD",I77&gt;=65%,"IMPROVEMENT",I77&gt;=40%,"POOR",I77&gt;=0%,"WORST")</f>
        <v>VERY GOOD</v>
      </c>
    </row>
    <row r="78" spans="1:14" ht="20.25" customHeight="1">
      <c r="A78" s="9" t="s">
        <v>166</v>
      </c>
      <c r="B78" s="9" t="s">
        <v>167</v>
      </c>
      <c r="C78" s="9" t="s">
        <v>18</v>
      </c>
      <c r="D78" s="9" t="s">
        <v>15</v>
      </c>
      <c r="E78" s="9">
        <v>85</v>
      </c>
      <c r="F78" s="9">
        <v>88</v>
      </c>
      <c r="G78" s="9">
        <v>82</v>
      </c>
      <c r="H78" s="9">
        <v>91</v>
      </c>
      <c r="I78" s="11">
        <v>0.95</v>
      </c>
      <c r="J78" s="9">
        <f t="shared" si="4"/>
        <v>346</v>
      </c>
      <c r="K78" s="11">
        <f t="shared" si="5"/>
        <v>0.86499999999999999</v>
      </c>
      <c r="L78" s="9" t="str">
        <f t="shared" si="6"/>
        <v>PASS</v>
      </c>
      <c r="M78" s="9" t="str">
        <f t="shared" si="7"/>
        <v>ELIGIBLE</v>
      </c>
      <c r="N78" s="9" t="str" cm="1">
        <f t="array" ref="N78">_xlfn.IFS(I78&gt;=95%,"EXCELLENT",I78&gt;=85%,"VERY GOOD",I78&gt;=75%,"GOOD",I78&gt;=65%,"IMPROVEMENT",I78&gt;=40%,"POOR",I78&gt;=0%,"WORST")</f>
        <v>EXCELLENT</v>
      </c>
    </row>
    <row r="79" spans="1:14" ht="20.25" customHeight="1">
      <c r="A79" s="9" t="s">
        <v>168</v>
      </c>
      <c r="B79" s="9" t="s">
        <v>169</v>
      </c>
      <c r="C79" s="9" t="s">
        <v>11</v>
      </c>
      <c r="D79" s="9" t="s">
        <v>15</v>
      </c>
      <c r="E79" s="9">
        <v>70</v>
      </c>
      <c r="F79" s="9">
        <v>76</v>
      </c>
      <c r="G79" s="9">
        <v>73</v>
      </c>
      <c r="H79" s="9">
        <v>79</v>
      </c>
      <c r="I79" s="11">
        <v>0.86</v>
      </c>
      <c r="J79" s="9">
        <f t="shared" si="4"/>
        <v>298</v>
      </c>
      <c r="K79" s="11">
        <f t="shared" si="5"/>
        <v>0.745</v>
      </c>
      <c r="L79" s="9" t="str">
        <f t="shared" si="6"/>
        <v>PASS</v>
      </c>
      <c r="M79" s="9" t="str">
        <f t="shared" si="7"/>
        <v>ELIGIBLE</v>
      </c>
      <c r="N79" s="9" t="str" cm="1">
        <f t="array" ref="N79">_xlfn.IFS(I79&gt;=95%,"EXCELLENT",I79&gt;=85%,"VERY GOOD",I79&gt;=75%,"GOOD",I79&gt;=65%,"IMPROVEMENT",I79&gt;=40%,"POOR",I79&gt;=0%,"WORST")</f>
        <v>VERY GOOD</v>
      </c>
    </row>
    <row r="80" spans="1:14" ht="20.25" customHeight="1">
      <c r="A80" s="9" t="s">
        <v>170</v>
      </c>
      <c r="B80" s="9" t="s">
        <v>171</v>
      </c>
      <c r="C80" s="9" t="s">
        <v>21</v>
      </c>
      <c r="D80" s="9" t="s">
        <v>12</v>
      </c>
      <c r="E80" s="9">
        <v>43</v>
      </c>
      <c r="F80" s="9">
        <v>49</v>
      </c>
      <c r="G80" s="9">
        <v>45</v>
      </c>
      <c r="H80" s="9">
        <v>54</v>
      </c>
      <c r="I80" s="11">
        <v>0.7</v>
      </c>
      <c r="J80" s="9">
        <f t="shared" si="4"/>
        <v>191</v>
      </c>
      <c r="K80" s="11">
        <f t="shared" si="5"/>
        <v>0.47749999999999998</v>
      </c>
      <c r="L80" s="9" t="str">
        <f t="shared" si="6"/>
        <v>PASS</v>
      </c>
      <c r="M80" s="9" t="str">
        <f t="shared" si="7"/>
        <v>NOT ELIGIBLE</v>
      </c>
      <c r="N80" s="9" t="str" cm="1">
        <f t="array" ref="N80">_xlfn.IFS(I80&gt;=95%,"EXCELLENT",I80&gt;=85%,"VERY GOOD",I80&gt;=75%,"GOOD",I80&gt;=65%,"IMPROVEMENT",I80&gt;=40%,"POOR",I80&gt;=0%,"WORST")</f>
        <v>IMPROVEMENT</v>
      </c>
    </row>
    <row r="81" spans="1:14" ht="20.25" customHeight="1">
      <c r="A81" s="9" t="s">
        <v>172</v>
      </c>
      <c r="B81" s="9" t="s">
        <v>173</v>
      </c>
      <c r="C81" s="9" t="s">
        <v>18</v>
      </c>
      <c r="D81" s="9" t="s">
        <v>15</v>
      </c>
      <c r="E81" s="9">
        <v>90</v>
      </c>
      <c r="F81" s="9">
        <v>87</v>
      </c>
      <c r="G81" s="9">
        <v>93</v>
      </c>
      <c r="H81" s="9">
        <v>96</v>
      </c>
      <c r="I81" s="11">
        <v>0.98</v>
      </c>
      <c r="J81" s="9">
        <f t="shared" si="4"/>
        <v>366</v>
      </c>
      <c r="K81" s="11">
        <f t="shared" si="5"/>
        <v>0.91500000000000004</v>
      </c>
      <c r="L81" s="9" t="str">
        <f t="shared" si="6"/>
        <v>PASS</v>
      </c>
      <c r="M81" s="9" t="str">
        <f t="shared" si="7"/>
        <v>ELIGIBLE</v>
      </c>
      <c r="N81" s="9" t="str" cm="1">
        <f t="array" ref="N81">_xlfn.IFS(I81&gt;=95%,"EXCELLENT",I81&gt;=85%,"VERY GOOD",I81&gt;=75%,"GOOD",I81&gt;=65%,"IMPROVEMENT",I81&gt;=40%,"POOR",I81&gt;=0%,"WORST")</f>
        <v>EXCELLENT</v>
      </c>
    </row>
    <row r="82" spans="1:14" ht="20.25" customHeight="1">
      <c r="A82" s="9" t="s">
        <v>174</v>
      </c>
      <c r="B82" s="9" t="s">
        <v>175</v>
      </c>
      <c r="C82" s="9" t="s">
        <v>11</v>
      </c>
      <c r="D82" s="9" t="s">
        <v>12</v>
      </c>
      <c r="E82" s="9">
        <v>64</v>
      </c>
      <c r="F82" s="9">
        <v>69</v>
      </c>
      <c r="G82" s="9">
        <v>66</v>
      </c>
      <c r="H82" s="9">
        <v>72</v>
      </c>
      <c r="I82" s="11">
        <v>0.82</v>
      </c>
      <c r="J82" s="9">
        <f t="shared" si="4"/>
        <v>271</v>
      </c>
      <c r="K82" s="11">
        <f t="shared" si="5"/>
        <v>0.67749999999999999</v>
      </c>
      <c r="L82" s="9" t="str">
        <f t="shared" si="6"/>
        <v>PASS</v>
      </c>
      <c r="M82" s="9" t="str">
        <f t="shared" si="7"/>
        <v>ELIGIBLE</v>
      </c>
      <c r="N82" s="9" t="str" cm="1">
        <f t="array" ref="N82">_xlfn.IFS(I82&gt;=95%,"EXCELLENT",I82&gt;=85%,"VERY GOOD",I82&gt;=75%,"GOOD",I82&gt;=65%,"IMPROVEMENT",I82&gt;=40%,"POOR",I82&gt;=0%,"WORST")</f>
        <v>GOOD</v>
      </c>
    </row>
    <row r="83" spans="1:14" ht="20.25" customHeight="1">
      <c r="A83" s="9" t="s">
        <v>176</v>
      </c>
      <c r="B83" s="9" t="s">
        <v>177</v>
      </c>
      <c r="C83" s="9" t="s">
        <v>21</v>
      </c>
      <c r="D83" s="9" t="s">
        <v>15</v>
      </c>
      <c r="E83" s="9">
        <v>83</v>
      </c>
      <c r="F83" s="9">
        <v>79</v>
      </c>
      <c r="G83" s="9">
        <v>87</v>
      </c>
      <c r="H83" s="9">
        <v>89</v>
      </c>
      <c r="I83" s="11">
        <v>0.93</v>
      </c>
      <c r="J83" s="9">
        <f t="shared" si="4"/>
        <v>338</v>
      </c>
      <c r="K83" s="11">
        <f t="shared" si="5"/>
        <v>0.84499999999999997</v>
      </c>
      <c r="L83" s="9" t="str">
        <f t="shared" si="6"/>
        <v>PASS</v>
      </c>
      <c r="M83" s="9" t="str">
        <f t="shared" si="7"/>
        <v>ELIGIBLE</v>
      </c>
      <c r="N83" s="9" t="str" cm="1">
        <f t="array" ref="N83">_xlfn.IFS(I83&gt;=95%,"EXCELLENT",I83&gt;=85%,"VERY GOOD",I83&gt;=75%,"GOOD",I83&gt;=65%,"IMPROVEMENT",I83&gt;=40%,"POOR",I83&gt;=0%,"WORST")</f>
        <v>VERY GOOD</v>
      </c>
    </row>
    <row r="84" spans="1:14" ht="20.25" customHeight="1">
      <c r="A84" s="9" t="s">
        <v>178</v>
      </c>
      <c r="B84" s="9" t="s">
        <v>179</v>
      </c>
      <c r="C84" s="9" t="s">
        <v>18</v>
      </c>
      <c r="D84" s="9" t="s">
        <v>12</v>
      </c>
      <c r="E84" s="9">
        <v>51</v>
      </c>
      <c r="F84" s="9">
        <v>56</v>
      </c>
      <c r="G84" s="9">
        <v>54</v>
      </c>
      <c r="H84" s="9">
        <v>63</v>
      </c>
      <c r="I84" s="11">
        <v>0.76</v>
      </c>
      <c r="J84" s="9">
        <f t="shared" si="4"/>
        <v>224</v>
      </c>
      <c r="K84" s="11">
        <f t="shared" si="5"/>
        <v>0.56000000000000005</v>
      </c>
      <c r="L84" s="9" t="str">
        <f t="shared" si="6"/>
        <v>PASS</v>
      </c>
      <c r="M84" s="9" t="str">
        <f t="shared" si="7"/>
        <v>ELIGIBLE</v>
      </c>
      <c r="N84" s="9" t="str" cm="1">
        <f t="array" ref="N84">_xlfn.IFS(I84&gt;=95%,"EXCELLENT",I84&gt;=85%,"VERY GOOD",I84&gt;=75%,"GOOD",I84&gt;=65%,"IMPROVEMENT",I84&gt;=40%,"POOR",I84&gt;=0%,"WORST")</f>
        <v>GOOD</v>
      </c>
    </row>
    <row r="85" spans="1:14" ht="20.25" customHeight="1">
      <c r="A85" s="9" t="s">
        <v>180</v>
      </c>
      <c r="B85" s="9" t="s">
        <v>181</v>
      </c>
      <c r="C85" s="9" t="s">
        <v>11</v>
      </c>
      <c r="D85" s="9" t="s">
        <v>15</v>
      </c>
      <c r="E85" s="9">
        <v>96</v>
      </c>
      <c r="F85" s="9">
        <v>94</v>
      </c>
      <c r="G85" s="9">
        <v>97</v>
      </c>
      <c r="H85" s="9">
        <v>98</v>
      </c>
      <c r="I85" s="11">
        <v>1</v>
      </c>
      <c r="J85" s="9">
        <f t="shared" si="4"/>
        <v>385</v>
      </c>
      <c r="K85" s="11">
        <f t="shared" si="5"/>
        <v>0.96250000000000002</v>
      </c>
      <c r="L85" s="9" t="str">
        <f t="shared" si="6"/>
        <v>PASS</v>
      </c>
      <c r="M85" s="9" t="str">
        <f t="shared" si="7"/>
        <v>ELIGIBLE</v>
      </c>
      <c r="N85" s="9" t="str" cm="1">
        <f t="array" ref="N85">_xlfn.IFS(I85&gt;=95%,"EXCELLENT",I85&gt;=85%,"VERY GOOD",I85&gt;=75%,"GOOD",I85&gt;=65%,"IMPROVEMENT",I85&gt;=40%,"POOR",I85&gt;=0%,"WORST")</f>
        <v>EXCELLENT</v>
      </c>
    </row>
    <row r="86" spans="1:14" ht="20.25" customHeight="1">
      <c r="A86" s="9" t="s">
        <v>182</v>
      </c>
      <c r="B86" s="9" t="s">
        <v>183</v>
      </c>
      <c r="C86" s="9" t="s">
        <v>21</v>
      </c>
      <c r="D86" s="9" t="s">
        <v>12</v>
      </c>
      <c r="E86" s="9">
        <v>72</v>
      </c>
      <c r="F86" s="9">
        <v>77</v>
      </c>
      <c r="G86" s="9">
        <v>70</v>
      </c>
      <c r="H86" s="9">
        <v>81</v>
      </c>
      <c r="I86" s="11">
        <v>0.88</v>
      </c>
      <c r="J86" s="9">
        <f t="shared" si="4"/>
        <v>300</v>
      </c>
      <c r="K86" s="11">
        <f t="shared" si="5"/>
        <v>0.75</v>
      </c>
      <c r="L86" s="9" t="str">
        <f t="shared" si="6"/>
        <v>PASS</v>
      </c>
      <c r="M86" s="9" t="str">
        <f t="shared" si="7"/>
        <v>ELIGIBLE</v>
      </c>
      <c r="N86" s="9" t="str" cm="1">
        <f t="array" ref="N86">_xlfn.IFS(I86&gt;=95%,"EXCELLENT",I86&gt;=85%,"VERY GOOD",I86&gt;=75%,"GOOD",I86&gt;=65%,"IMPROVEMENT",I86&gt;=40%,"POOR",I86&gt;=0%,"WORST")</f>
        <v>VERY GOOD</v>
      </c>
    </row>
    <row r="87" spans="1:14" ht="20.25" customHeight="1">
      <c r="A87" s="9" t="s">
        <v>184</v>
      </c>
      <c r="B87" s="9" t="s">
        <v>185</v>
      </c>
      <c r="C87" s="9" t="s">
        <v>18</v>
      </c>
      <c r="D87" s="9" t="s">
        <v>15</v>
      </c>
      <c r="E87" s="9">
        <v>79</v>
      </c>
      <c r="F87" s="9">
        <v>85</v>
      </c>
      <c r="G87" s="9">
        <v>82</v>
      </c>
      <c r="H87" s="9">
        <v>86</v>
      </c>
      <c r="I87" s="11">
        <v>0.92</v>
      </c>
      <c r="J87" s="9">
        <f t="shared" si="4"/>
        <v>332</v>
      </c>
      <c r="K87" s="11">
        <f t="shared" si="5"/>
        <v>0.83</v>
      </c>
      <c r="L87" s="9" t="str">
        <f t="shared" si="6"/>
        <v>PASS</v>
      </c>
      <c r="M87" s="9" t="str">
        <f t="shared" si="7"/>
        <v>ELIGIBLE</v>
      </c>
      <c r="N87" s="9" t="str" cm="1">
        <f t="array" ref="N87">_xlfn.IFS(I87&gt;=95%,"EXCELLENT",I87&gt;=85%,"VERY GOOD",I87&gt;=75%,"GOOD",I87&gt;=65%,"IMPROVEMENT",I87&gt;=40%,"POOR",I87&gt;=0%,"WORST")</f>
        <v>VERY GOOD</v>
      </c>
    </row>
    <row r="88" spans="1:14" ht="20.25" customHeight="1">
      <c r="A88" s="9" t="s">
        <v>186</v>
      </c>
      <c r="B88" s="9" t="s">
        <v>187</v>
      </c>
      <c r="C88" s="9" t="s">
        <v>11</v>
      </c>
      <c r="D88" s="9" t="s">
        <v>12</v>
      </c>
      <c r="E88" s="9">
        <v>46</v>
      </c>
      <c r="F88" s="9">
        <v>52</v>
      </c>
      <c r="G88" s="9">
        <v>48</v>
      </c>
      <c r="H88" s="9">
        <v>57</v>
      </c>
      <c r="I88" s="11">
        <v>0.73</v>
      </c>
      <c r="J88" s="9">
        <f t="shared" si="4"/>
        <v>203</v>
      </c>
      <c r="K88" s="11">
        <f t="shared" si="5"/>
        <v>0.50749999999999995</v>
      </c>
      <c r="L88" s="9" t="str">
        <f t="shared" si="6"/>
        <v>PASS</v>
      </c>
      <c r="M88" s="9" t="str">
        <f t="shared" si="7"/>
        <v>NOT ELIGIBLE</v>
      </c>
      <c r="N88" s="9" t="str" cm="1">
        <f t="array" ref="N88">_xlfn.IFS(I88&gt;=95%,"EXCELLENT",I88&gt;=85%,"VERY GOOD",I88&gt;=75%,"GOOD",I88&gt;=65%,"IMPROVEMENT",I88&gt;=40%,"POOR",I88&gt;=0%,"WORST")</f>
        <v>IMPROVEMENT</v>
      </c>
    </row>
    <row r="89" spans="1:14" ht="20.25" customHeight="1">
      <c r="A89" s="9" t="s">
        <v>188</v>
      </c>
      <c r="B89" s="9" t="s">
        <v>189</v>
      </c>
      <c r="C89" s="9" t="s">
        <v>21</v>
      </c>
      <c r="D89" s="9" t="s">
        <v>15</v>
      </c>
      <c r="E89" s="9">
        <v>87</v>
      </c>
      <c r="F89" s="9">
        <v>91</v>
      </c>
      <c r="G89" s="9">
        <v>89</v>
      </c>
      <c r="H89" s="9">
        <v>94</v>
      </c>
      <c r="I89" s="11">
        <v>0.97</v>
      </c>
      <c r="J89" s="9">
        <f t="shared" si="4"/>
        <v>361</v>
      </c>
      <c r="K89" s="11">
        <f t="shared" si="5"/>
        <v>0.90249999999999997</v>
      </c>
      <c r="L89" s="9" t="str">
        <f t="shared" si="6"/>
        <v>PASS</v>
      </c>
      <c r="M89" s="9" t="str">
        <f t="shared" si="7"/>
        <v>ELIGIBLE</v>
      </c>
      <c r="N89" s="9" t="str" cm="1">
        <f t="array" ref="N89">_xlfn.IFS(I89&gt;=95%,"EXCELLENT",I89&gt;=85%,"VERY GOOD",I89&gt;=75%,"GOOD",I89&gt;=65%,"IMPROVEMENT",I89&gt;=40%,"POOR",I89&gt;=0%,"WORST")</f>
        <v>EXCELLENT</v>
      </c>
    </row>
    <row r="90" spans="1:14" ht="20.25" customHeight="1">
      <c r="A90" s="9" t="s">
        <v>190</v>
      </c>
      <c r="B90" s="9" t="s">
        <v>191</v>
      </c>
      <c r="C90" s="9" t="s">
        <v>18</v>
      </c>
      <c r="D90" s="9" t="s">
        <v>12</v>
      </c>
      <c r="E90" s="9">
        <v>61</v>
      </c>
      <c r="F90" s="9">
        <v>66</v>
      </c>
      <c r="G90" s="9">
        <v>63</v>
      </c>
      <c r="H90" s="9">
        <v>71</v>
      </c>
      <c r="I90" s="11">
        <v>0.8</v>
      </c>
      <c r="J90" s="9">
        <f t="shared" si="4"/>
        <v>261</v>
      </c>
      <c r="K90" s="11">
        <f t="shared" si="5"/>
        <v>0.65249999999999997</v>
      </c>
      <c r="L90" s="9" t="str">
        <f t="shared" si="6"/>
        <v>PASS</v>
      </c>
      <c r="M90" s="9" t="str">
        <f t="shared" si="7"/>
        <v>ELIGIBLE</v>
      </c>
      <c r="N90" s="9" t="str" cm="1">
        <f t="array" ref="N90">_xlfn.IFS(I90&gt;=95%,"EXCELLENT",I90&gt;=85%,"VERY GOOD",I90&gt;=75%,"GOOD",I90&gt;=65%,"IMPROVEMENT",I90&gt;=40%,"POOR",I90&gt;=0%,"WORST")</f>
        <v>GOOD</v>
      </c>
    </row>
    <row r="91" spans="1:14" ht="20.25" customHeight="1">
      <c r="A91" s="9" t="s">
        <v>192</v>
      </c>
      <c r="B91" s="9" t="s">
        <v>193</v>
      </c>
      <c r="C91" s="9" t="s">
        <v>11</v>
      </c>
      <c r="D91" s="9" t="s">
        <v>15</v>
      </c>
      <c r="E91" s="9">
        <v>93</v>
      </c>
      <c r="F91" s="9">
        <v>95</v>
      </c>
      <c r="G91" s="9">
        <v>92</v>
      </c>
      <c r="H91" s="9">
        <v>97</v>
      </c>
      <c r="I91" s="11">
        <v>0.99</v>
      </c>
      <c r="J91" s="9">
        <f t="shared" si="4"/>
        <v>377</v>
      </c>
      <c r="K91" s="11">
        <f t="shared" si="5"/>
        <v>0.9425</v>
      </c>
      <c r="L91" s="9" t="str">
        <f t="shared" si="6"/>
        <v>PASS</v>
      </c>
      <c r="M91" s="9" t="str">
        <f t="shared" si="7"/>
        <v>ELIGIBLE</v>
      </c>
      <c r="N91" s="9" t="str" cm="1">
        <f t="array" ref="N91">_xlfn.IFS(I91&gt;=95%,"EXCELLENT",I91&gt;=85%,"VERY GOOD",I91&gt;=75%,"GOOD",I91&gt;=65%,"IMPROVEMENT",I91&gt;=40%,"POOR",I91&gt;=0%,"WORST")</f>
        <v>EXCELLENT</v>
      </c>
    </row>
    <row r="92" spans="1:14" ht="20.25" customHeight="1">
      <c r="A92" s="9" t="s">
        <v>194</v>
      </c>
      <c r="B92" s="9" t="s">
        <v>195</v>
      </c>
      <c r="C92" s="9" t="s">
        <v>21</v>
      </c>
      <c r="D92" s="9" t="s">
        <v>12</v>
      </c>
      <c r="E92" s="9">
        <v>56</v>
      </c>
      <c r="F92" s="9">
        <v>62</v>
      </c>
      <c r="G92" s="9">
        <v>58</v>
      </c>
      <c r="H92" s="9">
        <v>65</v>
      </c>
      <c r="I92" s="11">
        <v>0.77</v>
      </c>
      <c r="J92" s="9">
        <f t="shared" si="4"/>
        <v>241</v>
      </c>
      <c r="K92" s="11">
        <f t="shared" si="5"/>
        <v>0.60250000000000004</v>
      </c>
      <c r="L92" s="9" t="str">
        <f t="shared" si="6"/>
        <v>PASS</v>
      </c>
      <c r="M92" s="9" t="str">
        <f t="shared" si="7"/>
        <v>ELIGIBLE</v>
      </c>
      <c r="N92" s="9" t="str" cm="1">
        <f t="array" ref="N92">_xlfn.IFS(I92&gt;=95%,"EXCELLENT",I92&gt;=85%,"VERY GOOD",I92&gt;=75%,"GOOD",I92&gt;=65%,"IMPROVEMENT",I92&gt;=40%,"POOR",I92&gt;=0%,"WORST")</f>
        <v>GOOD</v>
      </c>
    </row>
    <row r="93" spans="1:14" ht="20.25" customHeight="1">
      <c r="A93" s="9" t="s">
        <v>196</v>
      </c>
      <c r="B93" s="9" t="s">
        <v>197</v>
      </c>
      <c r="C93" s="9" t="s">
        <v>18</v>
      </c>
      <c r="D93" s="9" t="s">
        <v>15</v>
      </c>
      <c r="E93" s="9">
        <v>82</v>
      </c>
      <c r="F93" s="9">
        <v>80</v>
      </c>
      <c r="G93" s="9">
        <v>85</v>
      </c>
      <c r="H93" s="9">
        <v>88</v>
      </c>
      <c r="I93" s="11">
        <v>0.94</v>
      </c>
      <c r="J93" s="9">
        <f t="shared" si="4"/>
        <v>335</v>
      </c>
      <c r="K93" s="11">
        <f t="shared" si="5"/>
        <v>0.83750000000000002</v>
      </c>
      <c r="L93" s="9" t="str">
        <f t="shared" si="6"/>
        <v>PASS</v>
      </c>
      <c r="M93" s="9" t="str">
        <f t="shared" si="7"/>
        <v>ELIGIBLE</v>
      </c>
      <c r="N93" s="9" t="str" cm="1">
        <f t="array" ref="N93">_xlfn.IFS(I93&gt;=95%,"EXCELLENT",I93&gt;=85%,"VERY GOOD",I93&gt;=75%,"GOOD",I93&gt;=65%,"IMPROVEMENT",I93&gt;=40%,"POOR",I93&gt;=0%,"WORST")</f>
        <v>VERY GOOD</v>
      </c>
    </row>
    <row r="94" spans="1:14" ht="20.25" customHeight="1">
      <c r="A94" s="9" t="s">
        <v>198</v>
      </c>
      <c r="B94" s="9" t="s">
        <v>199</v>
      </c>
      <c r="C94" s="9" t="s">
        <v>11</v>
      </c>
      <c r="D94" s="9" t="s">
        <v>12</v>
      </c>
      <c r="E94" s="9">
        <v>69</v>
      </c>
      <c r="F94" s="9">
        <v>73</v>
      </c>
      <c r="G94" s="9">
        <v>67</v>
      </c>
      <c r="H94" s="9">
        <v>76</v>
      </c>
      <c r="I94" s="11">
        <v>0.84</v>
      </c>
      <c r="J94" s="9">
        <f t="shared" si="4"/>
        <v>285</v>
      </c>
      <c r="K94" s="11">
        <f t="shared" si="5"/>
        <v>0.71250000000000002</v>
      </c>
      <c r="L94" s="9" t="str">
        <f t="shared" si="6"/>
        <v>PASS</v>
      </c>
      <c r="M94" s="9" t="str">
        <f t="shared" si="7"/>
        <v>ELIGIBLE</v>
      </c>
      <c r="N94" s="9" t="str" cm="1">
        <f t="array" ref="N94">_xlfn.IFS(I94&gt;=95%,"EXCELLENT",I94&gt;=85%,"VERY GOOD",I94&gt;=75%,"GOOD",I94&gt;=65%,"IMPROVEMENT",I94&gt;=40%,"POOR",I94&gt;=0%,"WORST")</f>
        <v>GOOD</v>
      </c>
    </row>
    <row r="95" spans="1:14" ht="20.25" customHeight="1">
      <c r="A95" s="9" t="s">
        <v>200</v>
      </c>
      <c r="B95" s="9" t="s">
        <v>201</v>
      </c>
      <c r="C95" s="9" t="s">
        <v>21</v>
      </c>
      <c r="D95" s="9" t="s">
        <v>15</v>
      </c>
      <c r="E95" s="9">
        <v>91</v>
      </c>
      <c r="F95" s="9">
        <v>89</v>
      </c>
      <c r="G95" s="9">
        <v>94</v>
      </c>
      <c r="H95" s="9">
        <v>96</v>
      </c>
      <c r="I95" s="11">
        <v>0.98</v>
      </c>
      <c r="J95" s="9">
        <f t="shared" si="4"/>
        <v>370</v>
      </c>
      <c r="K95" s="11">
        <f t="shared" si="5"/>
        <v>0.92500000000000004</v>
      </c>
      <c r="L95" s="9" t="str">
        <f t="shared" si="6"/>
        <v>PASS</v>
      </c>
      <c r="M95" s="9" t="str">
        <f t="shared" si="7"/>
        <v>ELIGIBLE</v>
      </c>
      <c r="N95" s="9" t="str" cm="1">
        <f t="array" ref="N95">_xlfn.IFS(I95&gt;=95%,"EXCELLENT",I95&gt;=85%,"VERY GOOD",I95&gt;=75%,"GOOD",I95&gt;=65%,"IMPROVEMENT",I95&gt;=40%,"POOR",I95&gt;=0%,"WORST")</f>
        <v>EXCELLENT</v>
      </c>
    </row>
    <row r="96" spans="1:14" ht="20.25" customHeight="1">
      <c r="A96" s="9" t="s">
        <v>202</v>
      </c>
      <c r="B96" s="9" t="s">
        <v>203</v>
      </c>
      <c r="C96" s="9" t="s">
        <v>18</v>
      </c>
      <c r="D96" s="9" t="s">
        <v>12</v>
      </c>
      <c r="E96" s="9">
        <v>37</v>
      </c>
      <c r="F96" s="9">
        <v>44</v>
      </c>
      <c r="G96" s="9">
        <v>41</v>
      </c>
      <c r="H96" s="9">
        <v>50</v>
      </c>
      <c r="I96" s="11">
        <v>0.67</v>
      </c>
      <c r="J96" s="9">
        <f t="shared" si="4"/>
        <v>172</v>
      </c>
      <c r="K96" s="11">
        <f t="shared" si="5"/>
        <v>0.43</v>
      </c>
      <c r="L96" s="9" t="str">
        <f t="shared" si="6"/>
        <v>FAIL</v>
      </c>
      <c r="M96" s="9" t="str">
        <f t="shared" si="7"/>
        <v>NOT ELIGIBLE</v>
      </c>
      <c r="N96" s="9" t="str" cm="1">
        <f t="array" ref="N96">_xlfn.IFS(I96&gt;=95%,"EXCELLENT",I96&gt;=85%,"VERY GOOD",I96&gt;=75%,"GOOD",I96&gt;=65%,"IMPROVEMENT",I96&gt;=40%,"POOR",I96&gt;=0%,"WORST")</f>
        <v>IMPROVEMENT</v>
      </c>
    </row>
    <row r="97" spans="1:14" ht="20.25" customHeight="1">
      <c r="A97" s="9" t="s">
        <v>204</v>
      </c>
      <c r="B97" s="9" t="s">
        <v>205</v>
      </c>
      <c r="C97" s="9" t="s">
        <v>11</v>
      </c>
      <c r="D97" s="9" t="s">
        <v>15</v>
      </c>
      <c r="E97" s="9">
        <v>76</v>
      </c>
      <c r="F97" s="9">
        <v>83</v>
      </c>
      <c r="G97" s="9">
        <v>78</v>
      </c>
      <c r="H97" s="9">
        <v>85</v>
      </c>
      <c r="I97" s="11">
        <v>0.91</v>
      </c>
      <c r="J97" s="9">
        <f t="shared" si="4"/>
        <v>322</v>
      </c>
      <c r="K97" s="11">
        <f t="shared" si="5"/>
        <v>0.80500000000000005</v>
      </c>
      <c r="L97" s="9" t="str">
        <f t="shared" si="6"/>
        <v>PASS</v>
      </c>
      <c r="M97" s="9" t="str">
        <f t="shared" si="7"/>
        <v>ELIGIBLE</v>
      </c>
      <c r="N97" s="9" t="str" cm="1">
        <f t="array" ref="N97">_xlfn.IFS(I97&gt;=95%,"EXCELLENT",I97&gt;=85%,"VERY GOOD",I97&gt;=75%,"GOOD",I97&gt;=65%,"IMPROVEMENT",I97&gt;=40%,"POOR",I97&gt;=0%,"WORST")</f>
        <v>VERY GOOD</v>
      </c>
    </row>
    <row r="98" spans="1:14" ht="20.25" customHeight="1">
      <c r="A98" s="9" t="s">
        <v>206</v>
      </c>
      <c r="B98" s="9" t="s">
        <v>207</v>
      </c>
      <c r="C98" s="9" t="s">
        <v>21</v>
      </c>
      <c r="D98" s="9" t="s">
        <v>12</v>
      </c>
      <c r="E98" s="9">
        <v>88</v>
      </c>
      <c r="F98" s="9">
        <v>86</v>
      </c>
      <c r="G98" s="9">
        <v>90</v>
      </c>
      <c r="H98" s="9">
        <v>92</v>
      </c>
      <c r="I98" s="11">
        <v>0.96</v>
      </c>
      <c r="J98" s="9">
        <f t="shared" si="4"/>
        <v>356</v>
      </c>
      <c r="K98" s="11">
        <f t="shared" si="5"/>
        <v>0.89</v>
      </c>
      <c r="L98" s="9" t="str">
        <f t="shared" si="6"/>
        <v>PASS</v>
      </c>
      <c r="M98" s="9" t="str">
        <f t="shared" si="7"/>
        <v>ELIGIBLE</v>
      </c>
      <c r="N98" s="9" t="str" cm="1">
        <f t="array" ref="N98">_xlfn.IFS(I98&gt;=95%,"EXCELLENT",I98&gt;=85%,"VERY GOOD",I98&gt;=75%,"GOOD",I98&gt;=65%,"IMPROVEMENT",I98&gt;=40%,"POOR",I98&gt;=0%,"WORST")</f>
        <v>EXCELLENT</v>
      </c>
    </row>
    <row r="99" spans="1:14" ht="20.25" customHeight="1">
      <c r="A99" s="9" t="s">
        <v>208</v>
      </c>
      <c r="B99" s="9" t="s">
        <v>209</v>
      </c>
      <c r="C99" s="9" t="s">
        <v>18</v>
      </c>
      <c r="D99" s="9" t="s">
        <v>15</v>
      </c>
      <c r="E99" s="9">
        <v>63</v>
      </c>
      <c r="F99" s="9">
        <v>70</v>
      </c>
      <c r="G99" s="9">
        <v>65</v>
      </c>
      <c r="H99" s="9">
        <v>73</v>
      </c>
      <c r="I99" s="11">
        <v>0.83</v>
      </c>
      <c r="J99" s="9">
        <f t="shared" si="4"/>
        <v>271</v>
      </c>
      <c r="K99" s="11">
        <f t="shared" si="5"/>
        <v>0.67749999999999999</v>
      </c>
      <c r="L99" s="9" t="str">
        <f t="shared" si="6"/>
        <v>PASS</v>
      </c>
      <c r="M99" s="9" t="str">
        <f t="shared" si="7"/>
        <v>ELIGIBLE</v>
      </c>
      <c r="N99" s="9" t="str" cm="1">
        <f t="array" ref="N99">_xlfn.IFS(I99&gt;=95%,"EXCELLENT",I99&gt;=85%,"VERY GOOD",I99&gt;=75%,"GOOD",I99&gt;=65%,"IMPROVEMENT",I99&gt;=40%,"POOR",I99&gt;=0%,"WORST")</f>
        <v>GOOD</v>
      </c>
    </row>
    <row r="100" spans="1:14" ht="20.25" customHeight="1">
      <c r="A100" s="9" t="s">
        <v>210</v>
      </c>
      <c r="B100" s="9" t="s">
        <v>211</v>
      </c>
      <c r="C100" s="9" t="s">
        <v>11</v>
      </c>
      <c r="D100" s="9" t="s">
        <v>12</v>
      </c>
      <c r="E100" s="9">
        <v>80</v>
      </c>
      <c r="F100" s="9">
        <v>78</v>
      </c>
      <c r="G100" s="9">
        <v>84</v>
      </c>
      <c r="H100" s="9">
        <v>87</v>
      </c>
      <c r="I100" s="11">
        <v>0.9</v>
      </c>
      <c r="J100" s="9">
        <f t="shared" si="4"/>
        <v>329</v>
      </c>
      <c r="K100" s="11">
        <f t="shared" si="5"/>
        <v>0.82250000000000001</v>
      </c>
      <c r="L100" s="9" t="str">
        <f t="shared" si="6"/>
        <v>PASS</v>
      </c>
      <c r="M100" s="9" t="str">
        <f t="shared" si="7"/>
        <v>ELIGIBLE</v>
      </c>
      <c r="N100" s="9" t="str" cm="1">
        <f t="array" ref="N100">_xlfn.IFS(I100&gt;=95%,"EXCELLENT",I100&gt;=85%,"VERY GOOD",I100&gt;=75%,"GOOD",I100&gt;=65%,"IMPROVEMENT",I100&gt;=40%,"POOR",I100&gt;=0%,"WORST")</f>
        <v>VERY GOOD</v>
      </c>
    </row>
    <row r="101" spans="1:14" ht="20.25" customHeight="1">
      <c r="A101" s="9" t="s">
        <v>212</v>
      </c>
      <c r="B101" s="9" t="s">
        <v>213</v>
      </c>
      <c r="C101" s="9" t="s">
        <v>21</v>
      </c>
      <c r="D101" s="9" t="s">
        <v>15</v>
      </c>
      <c r="E101" s="9">
        <v>94</v>
      </c>
      <c r="F101" s="9">
        <v>92</v>
      </c>
      <c r="G101" s="9">
        <v>96</v>
      </c>
      <c r="H101" s="9">
        <v>98</v>
      </c>
      <c r="I101" s="11">
        <v>0.99</v>
      </c>
      <c r="J101" s="9">
        <f t="shared" si="4"/>
        <v>380</v>
      </c>
      <c r="K101" s="11">
        <f t="shared" si="5"/>
        <v>0.95</v>
      </c>
      <c r="L101" s="9" t="str">
        <f t="shared" si="6"/>
        <v>PASS</v>
      </c>
      <c r="M101" s="9" t="str">
        <f t="shared" si="7"/>
        <v>ELIGIBLE</v>
      </c>
      <c r="N101" s="9" t="str" cm="1">
        <f t="array" ref="N101">_xlfn.IFS(I101&gt;=95%,"EXCELLENT",I101&gt;=85%,"VERY GOOD",I101&gt;=75%,"GOOD",I101&gt;=65%,"IMPROVEMENT",I101&gt;=40%,"POOR",I101&gt;=0%,"WORST")</f>
        <v>EXCELLENT</v>
      </c>
    </row>
  </sheetData>
  <dataValidations count="2">
    <dataValidation type="list" allowBlank="1" showInputMessage="1" showErrorMessage="1" sqref="Q3" xr:uid="{7DCD61B3-6A08-4E5B-93D3-BB10C29B6922}">
      <formula1>$D:$D</formula1>
    </dataValidation>
    <dataValidation type="list" allowBlank="1" showInputMessage="1" showErrorMessage="1" sqref="Q4" xr:uid="{81AF57FE-45F9-4EA4-8ED8-90C96F9870C9}">
      <formula1>$L$2:$L$101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2588E-4B9C-4D90-AC36-AFF9F1B9A26B}">
  <dimension ref="A2:E102"/>
  <sheetViews>
    <sheetView workbookViewId="0">
      <selection activeCell="H2" sqref="H2"/>
    </sheetView>
  </sheetViews>
  <sheetFormatPr defaultRowHeight="15"/>
  <cols>
    <col min="1" max="5" width="23.5703125" customWidth="1"/>
  </cols>
  <sheetData>
    <row r="2" spans="1:5" ht="26.25" customHeight="1">
      <c r="A2" s="1" t="s">
        <v>0</v>
      </c>
      <c r="B2" s="1" t="s">
        <v>224</v>
      </c>
      <c r="C2" s="1" t="s">
        <v>225</v>
      </c>
      <c r="D2" s="1" t="s">
        <v>226</v>
      </c>
      <c r="E2" s="1" t="s">
        <v>8</v>
      </c>
    </row>
    <row r="3" spans="1:5">
      <c r="A3" t="s">
        <v>227</v>
      </c>
      <c r="B3" t="s">
        <v>10</v>
      </c>
      <c r="C3" t="s">
        <v>228</v>
      </c>
      <c r="D3" t="s">
        <v>229</v>
      </c>
      <c r="E3" s="19">
        <v>0.92</v>
      </c>
    </row>
    <row r="4" spans="1:5">
      <c r="A4" t="s">
        <v>230</v>
      </c>
      <c r="B4" t="s">
        <v>231</v>
      </c>
      <c r="C4" t="s">
        <v>232</v>
      </c>
      <c r="D4" t="s">
        <v>233</v>
      </c>
      <c r="E4" s="19">
        <v>0.96</v>
      </c>
    </row>
    <row r="5" spans="1:5">
      <c r="A5" t="s">
        <v>234</v>
      </c>
      <c r="B5" t="s">
        <v>235</v>
      </c>
      <c r="C5" t="s">
        <v>236</v>
      </c>
      <c r="D5" t="s">
        <v>237</v>
      </c>
      <c r="E5" s="19">
        <v>0.81</v>
      </c>
    </row>
    <row r="6" spans="1:5">
      <c r="A6" t="s">
        <v>238</v>
      </c>
      <c r="B6" t="s">
        <v>239</v>
      </c>
      <c r="C6" t="s">
        <v>240</v>
      </c>
      <c r="D6" t="s">
        <v>241</v>
      </c>
      <c r="E6" s="19">
        <v>0.98</v>
      </c>
    </row>
    <row r="7" spans="1:5">
      <c r="A7" t="s">
        <v>242</v>
      </c>
      <c r="B7" t="s">
        <v>243</v>
      </c>
      <c r="C7" t="s">
        <v>228</v>
      </c>
      <c r="D7" t="s">
        <v>244</v>
      </c>
      <c r="E7" s="19">
        <v>0.74</v>
      </c>
    </row>
    <row r="8" spans="1:5">
      <c r="A8" t="s">
        <v>245</v>
      </c>
      <c r="B8" t="s">
        <v>246</v>
      </c>
      <c r="C8" t="s">
        <v>247</v>
      </c>
      <c r="D8" t="s">
        <v>248</v>
      </c>
      <c r="E8" s="19">
        <v>0.9</v>
      </c>
    </row>
    <row r="9" spans="1:5">
      <c r="A9" t="s">
        <v>249</v>
      </c>
      <c r="B9" t="s">
        <v>250</v>
      </c>
      <c r="C9" t="s">
        <v>251</v>
      </c>
      <c r="D9" t="s">
        <v>252</v>
      </c>
      <c r="E9" s="19">
        <v>0.85</v>
      </c>
    </row>
    <row r="10" spans="1:5">
      <c r="A10" t="s">
        <v>253</v>
      </c>
      <c r="B10" t="s">
        <v>254</v>
      </c>
      <c r="C10" t="s">
        <v>232</v>
      </c>
      <c r="D10" t="s">
        <v>255</v>
      </c>
      <c r="E10" s="19">
        <v>0.99</v>
      </c>
    </row>
    <row r="11" spans="1:5">
      <c r="A11" t="s">
        <v>256</v>
      </c>
      <c r="B11" t="s">
        <v>257</v>
      </c>
      <c r="C11" t="s">
        <v>236</v>
      </c>
      <c r="D11" t="s">
        <v>258</v>
      </c>
      <c r="E11" s="19">
        <v>0.68</v>
      </c>
    </row>
    <row r="12" spans="1:5">
      <c r="A12" t="s">
        <v>259</v>
      </c>
      <c r="B12" t="s">
        <v>33</v>
      </c>
      <c r="C12" t="s">
        <v>240</v>
      </c>
      <c r="D12" t="s">
        <v>260</v>
      </c>
      <c r="E12" s="19">
        <v>0.88</v>
      </c>
    </row>
    <row r="13" spans="1:5">
      <c r="A13" t="s">
        <v>261</v>
      </c>
      <c r="B13" t="s">
        <v>262</v>
      </c>
      <c r="C13" t="s">
        <v>251</v>
      </c>
      <c r="D13" t="s">
        <v>263</v>
      </c>
      <c r="E13" s="19">
        <v>0.93</v>
      </c>
    </row>
    <row r="14" spans="1:5">
      <c r="A14" t="s">
        <v>264</v>
      </c>
      <c r="B14" t="s">
        <v>265</v>
      </c>
      <c r="C14" t="s">
        <v>232</v>
      </c>
      <c r="D14" t="s">
        <v>266</v>
      </c>
      <c r="E14" s="19">
        <v>0.79</v>
      </c>
    </row>
    <row r="15" spans="1:5">
      <c r="A15" t="s">
        <v>267</v>
      </c>
      <c r="B15" t="s">
        <v>268</v>
      </c>
      <c r="C15" t="s">
        <v>236</v>
      </c>
      <c r="D15" t="s">
        <v>269</v>
      </c>
      <c r="E15" s="19">
        <v>0.97</v>
      </c>
    </row>
    <row r="16" spans="1:5">
      <c r="A16" t="s">
        <v>270</v>
      </c>
      <c r="B16" t="s">
        <v>271</v>
      </c>
      <c r="C16" t="s">
        <v>247</v>
      </c>
      <c r="D16" t="s">
        <v>272</v>
      </c>
      <c r="E16" s="19">
        <v>0.91</v>
      </c>
    </row>
    <row r="17" spans="1:5">
      <c r="A17" t="s">
        <v>273</v>
      </c>
      <c r="B17" t="s">
        <v>274</v>
      </c>
      <c r="C17" t="s">
        <v>228</v>
      </c>
      <c r="D17" t="s">
        <v>275</v>
      </c>
      <c r="E17" s="19">
        <v>0.76</v>
      </c>
    </row>
    <row r="18" spans="1:5">
      <c r="A18" t="s">
        <v>276</v>
      </c>
      <c r="B18" t="s">
        <v>277</v>
      </c>
      <c r="C18" t="s">
        <v>240</v>
      </c>
      <c r="D18" t="s">
        <v>278</v>
      </c>
      <c r="E18" s="19">
        <v>0.98</v>
      </c>
    </row>
    <row r="19" spans="1:5">
      <c r="A19" t="s">
        <v>279</v>
      </c>
      <c r="B19" t="s">
        <v>280</v>
      </c>
      <c r="C19" t="s">
        <v>251</v>
      </c>
      <c r="D19" t="s">
        <v>281</v>
      </c>
      <c r="E19" s="19">
        <v>0.83</v>
      </c>
    </row>
    <row r="20" spans="1:5">
      <c r="A20" t="s">
        <v>282</v>
      </c>
      <c r="B20" t="s">
        <v>283</v>
      </c>
      <c r="C20" t="s">
        <v>232</v>
      </c>
      <c r="D20" t="s">
        <v>284</v>
      </c>
      <c r="E20" s="19">
        <v>0.89</v>
      </c>
    </row>
    <row r="21" spans="1:5">
      <c r="A21" t="s">
        <v>285</v>
      </c>
      <c r="B21" t="s">
        <v>286</v>
      </c>
      <c r="C21" t="s">
        <v>236</v>
      </c>
      <c r="D21" t="s">
        <v>287</v>
      </c>
      <c r="E21" s="19">
        <v>0.65</v>
      </c>
    </row>
    <row r="22" spans="1:5">
      <c r="A22" t="s">
        <v>288</v>
      </c>
      <c r="B22" t="s">
        <v>289</v>
      </c>
      <c r="C22" t="s">
        <v>247</v>
      </c>
      <c r="D22" t="s">
        <v>290</v>
      </c>
      <c r="E22" s="19">
        <v>0.95</v>
      </c>
    </row>
    <row r="23" spans="1:5">
      <c r="A23" t="s">
        <v>291</v>
      </c>
      <c r="B23" t="s">
        <v>292</v>
      </c>
      <c r="C23" t="s">
        <v>228</v>
      </c>
      <c r="D23" t="s">
        <v>293</v>
      </c>
      <c r="E23" s="19">
        <v>0.84</v>
      </c>
    </row>
    <row r="24" spans="1:5">
      <c r="A24" t="s">
        <v>294</v>
      </c>
      <c r="B24" t="s">
        <v>295</v>
      </c>
      <c r="C24" t="s">
        <v>240</v>
      </c>
      <c r="D24" t="s">
        <v>296</v>
      </c>
      <c r="E24" s="19">
        <v>0.96</v>
      </c>
    </row>
    <row r="25" spans="1:5">
      <c r="A25" t="s">
        <v>297</v>
      </c>
      <c r="B25" t="s">
        <v>298</v>
      </c>
      <c r="C25" t="s">
        <v>251</v>
      </c>
      <c r="D25" t="s">
        <v>299</v>
      </c>
      <c r="E25" s="19">
        <v>0.78</v>
      </c>
    </row>
    <row r="26" spans="1:5">
      <c r="A26" t="s">
        <v>300</v>
      </c>
      <c r="B26" t="s">
        <v>301</v>
      </c>
      <c r="C26" t="s">
        <v>232</v>
      </c>
      <c r="D26" t="s">
        <v>302</v>
      </c>
      <c r="E26" s="19">
        <v>0.99</v>
      </c>
    </row>
    <row r="27" spans="1:5">
      <c r="A27" t="s">
        <v>303</v>
      </c>
      <c r="B27" t="s">
        <v>304</v>
      </c>
      <c r="C27" t="s">
        <v>236</v>
      </c>
      <c r="D27" t="s">
        <v>305</v>
      </c>
      <c r="E27" s="19">
        <v>0.72</v>
      </c>
    </row>
    <row r="28" spans="1:5">
      <c r="A28" t="s">
        <v>306</v>
      </c>
      <c r="B28" t="s">
        <v>307</v>
      </c>
      <c r="C28" t="s">
        <v>247</v>
      </c>
      <c r="D28" t="s">
        <v>308</v>
      </c>
      <c r="E28" s="19">
        <v>0.92</v>
      </c>
    </row>
    <row r="29" spans="1:5">
      <c r="A29" t="s">
        <v>309</v>
      </c>
      <c r="B29" t="s">
        <v>63</v>
      </c>
      <c r="C29" t="s">
        <v>228</v>
      </c>
      <c r="D29" t="s">
        <v>310</v>
      </c>
      <c r="E29" s="19">
        <v>0.8</v>
      </c>
    </row>
    <row r="30" spans="1:5">
      <c r="A30" t="s">
        <v>311</v>
      </c>
      <c r="B30" t="s">
        <v>312</v>
      </c>
      <c r="C30" t="s">
        <v>240</v>
      </c>
      <c r="D30" t="s">
        <v>313</v>
      </c>
      <c r="E30" s="19">
        <v>0.97</v>
      </c>
    </row>
    <row r="31" spans="1:5">
      <c r="A31" t="s">
        <v>314</v>
      </c>
      <c r="B31" t="s">
        <v>315</v>
      </c>
      <c r="C31" t="s">
        <v>251</v>
      </c>
      <c r="D31" t="s">
        <v>316</v>
      </c>
      <c r="E31" s="19">
        <v>0.86</v>
      </c>
    </row>
    <row r="32" spans="1:5">
      <c r="A32" t="s">
        <v>317</v>
      </c>
      <c r="B32" t="s">
        <v>318</v>
      </c>
      <c r="C32" t="s">
        <v>232</v>
      </c>
      <c r="D32" t="s">
        <v>319</v>
      </c>
      <c r="E32" s="19">
        <v>0.9</v>
      </c>
    </row>
    <row r="33" spans="1:5">
      <c r="A33" t="s">
        <v>320</v>
      </c>
      <c r="B33" t="s">
        <v>321</v>
      </c>
      <c r="C33" t="s">
        <v>236</v>
      </c>
      <c r="D33" t="s">
        <v>322</v>
      </c>
      <c r="E33" s="19">
        <v>0.75</v>
      </c>
    </row>
    <row r="34" spans="1:5">
      <c r="A34" t="s">
        <v>323</v>
      </c>
      <c r="B34" t="s">
        <v>324</v>
      </c>
      <c r="C34" t="s">
        <v>247</v>
      </c>
      <c r="D34" t="s">
        <v>325</v>
      </c>
      <c r="E34" s="19">
        <v>0.94</v>
      </c>
    </row>
    <row r="35" spans="1:5">
      <c r="A35" t="s">
        <v>326</v>
      </c>
      <c r="B35" t="s">
        <v>327</v>
      </c>
      <c r="C35" t="s">
        <v>228</v>
      </c>
      <c r="D35" t="s">
        <v>328</v>
      </c>
      <c r="E35" s="19">
        <v>0.82</v>
      </c>
    </row>
    <row r="36" spans="1:5">
      <c r="A36" t="s">
        <v>329</v>
      </c>
      <c r="B36" t="s">
        <v>330</v>
      </c>
      <c r="C36" t="s">
        <v>240</v>
      </c>
      <c r="D36" t="s">
        <v>331</v>
      </c>
      <c r="E36" s="19">
        <v>0.99</v>
      </c>
    </row>
    <row r="37" spans="1:5">
      <c r="A37" t="s">
        <v>332</v>
      </c>
      <c r="B37" t="s">
        <v>333</v>
      </c>
      <c r="C37" t="s">
        <v>251</v>
      </c>
      <c r="D37" t="s">
        <v>334</v>
      </c>
      <c r="E37" s="19">
        <v>0.7</v>
      </c>
    </row>
    <row r="38" spans="1:5">
      <c r="A38" t="s">
        <v>335</v>
      </c>
      <c r="B38" t="s">
        <v>336</v>
      </c>
      <c r="C38" t="s">
        <v>232</v>
      </c>
      <c r="D38" t="s">
        <v>337</v>
      </c>
      <c r="E38" s="19">
        <v>0.91</v>
      </c>
    </row>
    <row r="39" spans="1:5">
      <c r="A39" t="s">
        <v>338</v>
      </c>
      <c r="B39" t="s">
        <v>339</v>
      </c>
      <c r="C39" t="s">
        <v>236</v>
      </c>
      <c r="D39" t="s">
        <v>340</v>
      </c>
      <c r="E39" s="19">
        <v>0.87</v>
      </c>
    </row>
    <row r="40" spans="1:5">
      <c r="A40" t="s">
        <v>341</v>
      </c>
      <c r="B40" t="s">
        <v>342</v>
      </c>
      <c r="C40" t="s">
        <v>247</v>
      </c>
      <c r="D40" t="s">
        <v>343</v>
      </c>
      <c r="E40" s="19">
        <v>0.96</v>
      </c>
    </row>
    <row r="41" spans="1:5">
      <c r="A41" t="s">
        <v>344</v>
      </c>
      <c r="B41" t="s">
        <v>345</v>
      </c>
      <c r="C41" t="s">
        <v>228</v>
      </c>
      <c r="D41" t="s">
        <v>346</v>
      </c>
      <c r="E41" s="19">
        <v>0.79</v>
      </c>
    </row>
    <row r="42" spans="1:5">
      <c r="A42" t="s">
        <v>347</v>
      </c>
      <c r="B42" t="s">
        <v>348</v>
      </c>
      <c r="C42" t="s">
        <v>240</v>
      </c>
      <c r="D42" t="s">
        <v>349</v>
      </c>
      <c r="E42" s="19">
        <v>0.93</v>
      </c>
    </row>
    <row r="43" spans="1:5">
      <c r="A43" t="s">
        <v>350</v>
      </c>
      <c r="B43" t="s">
        <v>351</v>
      </c>
      <c r="C43" t="s">
        <v>251</v>
      </c>
      <c r="D43" t="s">
        <v>352</v>
      </c>
      <c r="E43" s="19">
        <v>0.73</v>
      </c>
    </row>
    <row r="44" spans="1:5">
      <c r="A44" t="s">
        <v>353</v>
      </c>
      <c r="B44" t="s">
        <v>354</v>
      </c>
      <c r="C44" t="s">
        <v>232</v>
      </c>
      <c r="D44" t="s">
        <v>355</v>
      </c>
      <c r="E44" s="19">
        <v>0.97</v>
      </c>
    </row>
    <row r="45" spans="1:5">
      <c r="A45" t="s">
        <v>356</v>
      </c>
      <c r="B45" t="s">
        <v>357</v>
      </c>
      <c r="C45" t="s">
        <v>236</v>
      </c>
      <c r="D45" t="s">
        <v>358</v>
      </c>
      <c r="E45" s="19">
        <v>0.85</v>
      </c>
    </row>
    <row r="46" spans="1:5">
      <c r="A46" t="s">
        <v>359</v>
      </c>
      <c r="B46" t="s">
        <v>360</v>
      </c>
      <c r="C46" t="s">
        <v>247</v>
      </c>
      <c r="D46" t="s">
        <v>361</v>
      </c>
      <c r="E46" s="19">
        <v>0.94</v>
      </c>
    </row>
    <row r="47" spans="1:5">
      <c r="A47" t="s">
        <v>362</v>
      </c>
      <c r="B47" t="s">
        <v>363</v>
      </c>
      <c r="C47" t="s">
        <v>228</v>
      </c>
      <c r="D47" t="s">
        <v>364</v>
      </c>
      <c r="E47" s="19">
        <v>0.66</v>
      </c>
    </row>
    <row r="48" spans="1:5">
      <c r="A48" t="s">
        <v>365</v>
      </c>
      <c r="B48" t="s">
        <v>366</v>
      </c>
      <c r="C48" t="s">
        <v>240</v>
      </c>
      <c r="D48" t="s">
        <v>367</v>
      </c>
      <c r="E48" s="19">
        <v>0.95</v>
      </c>
    </row>
    <row r="49" spans="1:5">
      <c r="A49" t="s">
        <v>368</v>
      </c>
      <c r="B49" t="s">
        <v>369</v>
      </c>
      <c r="C49" t="s">
        <v>251</v>
      </c>
      <c r="D49" t="s">
        <v>370</v>
      </c>
      <c r="E49" s="19">
        <v>0.8</v>
      </c>
    </row>
    <row r="50" spans="1:5">
      <c r="A50" t="s">
        <v>371</v>
      </c>
      <c r="B50" t="s">
        <v>372</v>
      </c>
      <c r="C50" t="s">
        <v>232</v>
      </c>
      <c r="D50" t="s">
        <v>373</v>
      </c>
      <c r="E50" s="19">
        <v>0.98</v>
      </c>
    </row>
    <row r="51" spans="1:5">
      <c r="A51" t="s">
        <v>374</v>
      </c>
      <c r="B51" t="s">
        <v>375</v>
      </c>
      <c r="C51" t="s">
        <v>236</v>
      </c>
      <c r="D51" t="s">
        <v>376</v>
      </c>
      <c r="E51" s="19">
        <v>0.86</v>
      </c>
    </row>
    <row r="52" spans="1:5">
      <c r="A52" t="s">
        <v>377</v>
      </c>
      <c r="B52" t="s">
        <v>378</v>
      </c>
      <c r="C52" t="s">
        <v>247</v>
      </c>
      <c r="D52" t="s">
        <v>379</v>
      </c>
      <c r="E52" s="19">
        <v>0.9</v>
      </c>
    </row>
    <row r="53" spans="1:5">
      <c r="A53" t="s">
        <v>380</v>
      </c>
      <c r="B53" t="s">
        <v>381</v>
      </c>
      <c r="C53" t="s">
        <v>228</v>
      </c>
      <c r="D53" t="s">
        <v>382</v>
      </c>
      <c r="E53" s="19">
        <v>0.71</v>
      </c>
    </row>
    <row r="54" spans="1:5">
      <c r="A54" t="s">
        <v>383</v>
      </c>
      <c r="B54" t="s">
        <v>384</v>
      </c>
      <c r="C54" t="s">
        <v>240</v>
      </c>
      <c r="D54" t="s">
        <v>385</v>
      </c>
      <c r="E54" s="19">
        <v>0.96</v>
      </c>
    </row>
    <row r="55" spans="1:5">
      <c r="A55" t="s">
        <v>386</v>
      </c>
      <c r="B55" t="s">
        <v>387</v>
      </c>
      <c r="C55" t="s">
        <v>251</v>
      </c>
      <c r="D55" t="s">
        <v>388</v>
      </c>
      <c r="E55" s="19">
        <v>0.83</v>
      </c>
    </row>
    <row r="56" spans="1:5">
      <c r="A56" t="s">
        <v>389</v>
      </c>
      <c r="B56" t="s">
        <v>390</v>
      </c>
      <c r="C56" t="s">
        <v>232</v>
      </c>
      <c r="D56" t="s">
        <v>391</v>
      </c>
      <c r="E56" s="19">
        <v>0.99</v>
      </c>
    </row>
    <row r="57" spans="1:5">
      <c r="A57" t="s">
        <v>392</v>
      </c>
      <c r="B57" t="s">
        <v>393</v>
      </c>
      <c r="C57" t="s">
        <v>236</v>
      </c>
      <c r="D57" t="s">
        <v>394</v>
      </c>
      <c r="E57" s="19">
        <v>0.77</v>
      </c>
    </row>
    <row r="58" spans="1:5">
      <c r="A58" t="s">
        <v>395</v>
      </c>
      <c r="B58" t="s">
        <v>396</v>
      </c>
      <c r="C58" t="s">
        <v>247</v>
      </c>
      <c r="D58" t="s">
        <v>397</v>
      </c>
      <c r="E58" s="19">
        <v>0.91</v>
      </c>
    </row>
    <row r="59" spans="1:5">
      <c r="A59" t="s">
        <v>398</v>
      </c>
      <c r="B59" t="s">
        <v>399</v>
      </c>
      <c r="C59" t="s">
        <v>228</v>
      </c>
      <c r="D59" t="s">
        <v>400</v>
      </c>
      <c r="E59" s="19">
        <v>0.89</v>
      </c>
    </row>
    <row r="60" spans="1:5">
      <c r="A60" t="s">
        <v>401</v>
      </c>
      <c r="B60" t="s">
        <v>402</v>
      </c>
      <c r="C60" t="s">
        <v>240</v>
      </c>
      <c r="D60" t="s">
        <v>403</v>
      </c>
      <c r="E60" s="19">
        <v>0.97</v>
      </c>
    </row>
    <row r="61" spans="1:5">
      <c r="A61" t="s">
        <v>404</v>
      </c>
      <c r="B61" t="s">
        <v>405</v>
      </c>
      <c r="C61" t="s">
        <v>251</v>
      </c>
      <c r="D61" t="s">
        <v>406</v>
      </c>
      <c r="E61" s="19">
        <v>0.67</v>
      </c>
    </row>
    <row r="62" spans="1:5">
      <c r="A62" t="s">
        <v>407</v>
      </c>
      <c r="B62" t="s">
        <v>408</v>
      </c>
      <c r="C62" t="s">
        <v>232</v>
      </c>
      <c r="D62" t="s">
        <v>409</v>
      </c>
      <c r="E62" s="19">
        <v>0.93</v>
      </c>
    </row>
    <row r="63" spans="1:5">
      <c r="A63" t="s">
        <v>410</v>
      </c>
      <c r="B63" t="s">
        <v>411</v>
      </c>
      <c r="C63" t="s">
        <v>236</v>
      </c>
      <c r="D63" t="s">
        <v>412</v>
      </c>
      <c r="E63" s="19">
        <v>0.78</v>
      </c>
    </row>
    <row r="64" spans="1:5">
      <c r="A64" t="s">
        <v>413</v>
      </c>
      <c r="B64" t="s">
        <v>414</v>
      </c>
      <c r="C64" t="s">
        <v>247</v>
      </c>
      <c r="D64" t="s">
        <v>269</v>
      </c>
      <c r="E64" s="19">
        <v>0.96</v>
      </c>
    </row>
    <row r="65" spans="1:5">
      <c r="A65" t="s">
        <v>415</v>
      </c>
      <c r="B65" t="s">
        <v>416</v>
      </c>
      <c r="C65" t="s">
        <v>228</v>
      </c>
      <c r="D65" t="s">
        <v>417</v>
      </c>
      <c r="E65" s="19">
        <v>0.84</v>
      </c>
    </row>
    <row r="66" spans="1:5">
      <c r="A66" t="s">
        <v>418</v>
      </c>
      <c r="B66" t="s">
        <v>419</v>
      </c>
      <c r="C66" t="s">
        <v>240</v>
      </c>
      <c r="D66" t="s">
        <v>420</v>
      </c>
      <c r="E66" s="19">
        <v>0.95</v>
      </c>
    </row>
    <row r="67" spans="1:5">
      <c r="A67" t="s">
        <v>421</v>
      </c>
      <c r="B67" t="s">
        <v>422</v>
      </c>
      <c r="C67" t="s">
        <v>251</v>
      </c>
      <c r="D67" t="s">
        <v>423</v>
      </c>
      <c r="E67" s="19">
        <v>0.7</v>
      </c>
    </row>
    <row r="68" spans="1:5">
      <c r="A68" t="s">
        <v>424</v>
      </c>
      <c r="B68" t="s">
        <v>425</v>
      </c>
      <c r="C68" t="s">
        <v>232</v>
      </c>
      <c r="D68" t="s">
        <v>426</v>
      </c>
      <c r="E68" s="19">
        <v>0.9</v>
      </c>
    </row>
    <row r="69" spans="1:5">
      <c r="A69" t="s">
        <v>427</v>
      </c>
      <c r="B69" t="s">
        <v>428</v>
      </c>
      <c r="C69" t="s">
        <v>236</v>
      </c>
      <c r="D69" t="s">
        <v>429</v>
      </c>
      <c r="E69" s="19">
        <v>0.81</v>
      </c>
    </row>
    <row r="70" spans="1:5">
      <c r="A70" t="s">
        <v>430</v>
      </c>
      <c r="B70" t="s">
        <v>431</v>
      </c>
      <c r="C70" t="s">
        <v>247</v>
      </c>
      <c r="D70" t="s">
        <v>432</v>
      </c>
      <c r="E70" s="19">
        <v>0.98</v>
      </c>
    </row>
    <row r="71" spans="1:5">
      <c r="A71" t="s">
        <v>433</v>
      </c>
      <c r="B71" t="s">
        <v>434</v>
      </c>
      <c r="C71" t="s">
        <v>228</v>
      </c>
      <c r="D71" t="s">
        <v>435</v>
      </c>
      <c r="E71" s="19">
        <v>0.87</v>
      </c>
    </row>
    <row r="72" spans="1:5">
      <c r="A72" t="s">
        <v>436</v>
      </c>
      <c r="B72" t="s">
        <v>437</v>
      </c>
      <c r="C72" t="s">
        <v>240</v>
      </c>
      <c r="D72" t="s">
        <v>349</v>
      </c>
      <c r="E72" s="19">
        <v>0.94</v>
      </c>
    </row>
    <row r="73" spans="1:5">
      <c r="A73" t="s">
        <v>438</v>
      </c>
      <c r="B73" t="s">
        <v>439</v>
      </c>
      <c r="C73" t="s">
        <v>251</v>
      </c>
      <c r="D73" t="s">
        <v>440</v>
      </c>
      <c r="E73" s="19">
        <v>0.76</v>
      </c>
    </row>
    <row r="74" spans="1:5">
      <c r="A74" t="s">
        <v>441</v>
      </c>
      <c r="B74" t="s">
        <v>442</v>
      </c>
      <c r="C74" t="s">
        <v>232</v>
      </c>
      <c r="D74" t="s">
        <v>443</v>
      </c>
      <c r="E74" s="19">
        <v>0.97</v>
      </c>
    </row>
    <row r="75" spans="1:5">
      <c r="A75" t="s">
        <v>444</v>
      </c>
      <c r="B75" t="s">
        <v>445</v>
      </c>
      <c r="C75" t="s">
        <v>236</v>
      </c>
      <c r="D75" t="s">
        <v>446</v>
      </c>
      <c r="E75" s="19">
        <v>0.85</v>
      </c>
    </row>
    <row r="76" spans="1:5">
      <c r="A76" t="s">
        <v>447</v>
      </c>
      <c r="B76" t="s">
        <v>448</v>
      </c>
      <c r="C76" t="s">
        <v>247</v>
      </c>
      <c r="D76" t="s">
        <v>449</v>
      </c>
      <c r="E76" s="19">
        <v>0.92</v>
      </c>
    </row>
    <row r="77" spans="1:5">
      <c r="A77" t="s">
        <v>450</v>
      </c>
      <c r="B77" t="s">
        <v>451</v>
      </c>
      <c r="C77" t="s">
        <v>228</v>
      </c>
      <c r="D77" t="s">
        <v>452</v>
      </c>
      <c r="E77" s="19">
        <v>0.64</v>
      </c>
    </row>
    <row r="78" spans="1:5">
      <c r="A78" t="s">
        <v>453</v>
      </c>
      <c r="B78" t="s">
        <v>454</v>
      </c>
      <c r="C78" t="s">
        <v>240</v>
      </c>
      <c r="D78" t="s">
        <v>296</v>
      </c>
      <c r="E78" s="19">
        <v>0.96</v>
      </c>
    </row>
    <row r="79" spans="1:5">
      <c r="A79" t="s">
        <v>455</v>
      </c>
      <c r="B79" t="s">
        <v>456</v>
      </c>
      <c r="C79" t="s">
        <v>251</v>
      </c>
      <c r="D79" t="s">
        <v>457</v>
      </c>
      <c r="E79" s="19">
        <v>0.82</v>
      </c>
    </row>
    <row r="80" spans="1:5">
      <c r="A80" t="s">
        <v>458</v>
      </c>
      <c r="B80" t="s">
        <v>459</v>
      </c>
      <c r="C80" t="s">
        <v>232</v>
      </c>
      <c r="D80" t="s">
        <v>460</v>
      </c>
      <c r="E80" s="19">
        <v>0.99</v>
      </c>
    </row>
    <row r="81" spans="1:5">
      <c r="A81" t="s">
        <v>461</v>
      </c>
      <c r="B81" t="s">
        <v>462</v>
      </c>
      <c r="C81" t="s">
        <v>236</v>
      </c>
      <c r="D81" t="s">
        <v>463</v>
      </c>
      <c r="E81" s="19">
        <v>0.73</v>
      </c>
    </row>
    <row r="82" spans="1:5">
      <c r="A82" t="s">
        <v>464</v>
      </c>
      <c r="B82" t="s">
        <v>465</v>
      </c>
      <c r="C82" t="s">
        <v>247</v>
      </c>
      <c r="D82" t="s">
        <v>466</v>
      </c>
      <c r="E82" s="19">
        <v>0.91</v>
      </c>
    </row>
    <row r="83" spans="1:5">
      <c r="A83" t="s">
        <v>467</v>
      </c>
      <c r="B83" t="s">
        <v>10</v>
      </c>
      <c r="C83" t="s">
        <v>228</v>
      </c>
      <c r="D83" t="s">
        <v>229</v>
      </c>
      <c r="E83" s="19">
        <v>0.92</v>
      </c>
    </row>
    <row r="84" spans="1:5">
      <c r="A84" t="s">
        <v>468</v>
      </c>
      <c r="B84" t="s">
        <v>231</v>
      </c>
      <c r="C84" t="s">
        <v>232</v>
      </c>
      <c r="D84" t="s">
        <v>233</v>
      </c>
      <c r="E84" s="19">
        <v>0.96</v>
      </c>
    </row>
    <row r="85" spans="1:5">
      <c r="A85" t="s">
        <v>469</v>
      </c>
      <c r="B85" t="s">
        <v>235</v>
      </c>
      <c r="C85" t="s">
        <v>236</v>
      </c>
      <c r="D85" t="s">
        <v>237</v>
      </c>
      <c r="E85" s="19">
        <v>0.81</v>
      </c>
    </row>
    <row r="86" spans="1:5">
      <c r="A86" t="s">
        <v>470</v>
      </c>
      <c r="B86" t="s">
        <v>239</v>
      </c>
      <c r="C86" t="s">
        <v>240</v>
      </c>
      <c r="D86" t="s">
        <v>241</v>
      </c>
      <c r="E86" s="19">
        <v>0.98</v>
      </c>
    </row>
    <row r="87" spans="1:5">
      <c r="A87" t="s">
        <v>471</v>
      </c>
      <c r="B87" t="s">
        <v>472</v>
      </c>
      <c r="C87" t="s">
        <v>228</v>
      </c>
      <c r="D87" t="s">
        <v>229</v>
      </c>
      <c r="E87" s="19">
        <v>0.92</v>
      </c>
    </row>
    <row r="88" spans="1:5">
      <c r="A88" t="s">
        <v>473</v>
      </c>
      <c r="B88" t="s">
        <v>474</v>
      </c>
      <c r="C88" t="s">
        <v>236</v>
      </c>
      <c r="D88" t="s">
        <v>237</v>
      </c>
      <c r="E88" s="19">
        <v>0.81</v>
      </c>
    </row>
    <row r="89" spans="1:5">
      <c r="A89" t="s">
        <v>475</v>
      </c>
      <c r="B89" t="s">
        <v>231</v>
      </c>
      <c r="C89" t="s">
        <v>232</v>
      </c>
      <c r="D89" t="s">
        <v>233</v>
      </c>
      <c r="E89" s="19">
        <v>0.96</v>
      </c>
    </row>
    <row r="90" spans="1:5">
      <c r="A90" t="s">
        <v>476</v>
      </c>
      <c r="B90" t="s">
        <v>239</v>
      </c>
      <c r="C90" t="s">
        <v>240</v>
      </c>
      <c r="D90" t="s">
        <v>241</v>
      </c>
      <c r="E90" s="19">
        <v>0.98</v>
      </c>
    </row>
    <row r="91" spans="1:5">
      <c r="A91" t="s">
        <v>477</v>
      </c>
      <c r="B91" t="s">
        <v>262</v>
      </c>
      <c r="C91" t="s">
        <v>251</v>
      </c>
      <c r="D91" t="s">
        <v>263</v>
      </c>
      <c r="E91" s="19">
        <v>0.93</v>
      </c>
    </row>
    <row r="92" spans="1:5">
      <c r="A92" t="s">
        <v>478</v>
      </c>
      <c r="B92" t="s">
        <v>33</v>
      </c>
      <c r="C92" t="s">
        <v>240</v>
      </c>
      <c r="D92" t="s">
        <v>260</v>
      </c>
      <c r="E92" s="19">
        <v>0.88</v>
      </c>
    </row>
    <row r="93" spans="1:5">
      <c r="A93" t="s">
        <v>479</v>
      </c>
      <c r="B93" t="s">
        <v>231</v>
      </c>
      <c r="C93" t="s">
        <v>232</v>
      </c>
      <c r="D93" t="s">
        <v>233</v>
      </c>
      <c r="E93" s="19">
        <v>0.96</v>
      </c>
    </row>
    <row r="94" spans="1:5">
      <c r="A94" t="s">
        <v>480</v>
      </c>
      <c r="B94" t="s">
        <v>235</v>
      </c>
      <c r="C94" t="s">
        <v>236</v>
      </c>
      <c r="D94" t="s">
        <v>237</v>
      </c>
      <c r="E94" s="19">
        <v>0.81</v>
      </c>
    </row>
    <row r="95" spans="1:5">
      <c r="A95" t="s">
        <v>481</v>
      </c>
      <c r="B95" t="s">
        <v>246</v>
      </c>
      <c r="C95" t="s">
        <v>247</v>
      </c>
      <c r="D95" t="s">
        <v>248</v>
      </c>
      <c r="E95" s="19">
        <v>0.9</v>
      </c>
    </row>
    <row r="96" spans="1:5">
      <c r="A96" t="s">
        <v>482</v>
      </c>
      <c r="C96" t="s">
        <v>232</v>
      </c>
      <c r="D96" t="s">
        <v>483</v>
      </c>
      <c r="E96" s="19">
        <v>0.85</v>
      </c>
    </row>
    <row r="97" spans="1:5">
      <c r="A97" t="s">
        <v>484</v>
      </c>
      <c r="B97" t="s">
        <v>250</v>
      </c>
      <c r="C97" t="s">
        <v>251</v>
      </c>
      <c r="D97" t="s">
        <v>252</v>
      </c>
      <c r="E97" s="19">
        <v>0.85</v>
      </c>
    </row>
    <row r="98" spans="1:5">
      <c r="A98" t="s">
        <v>485</v>
      </c>
      <c r="B98" t="s">
        <v>254</v>
      </c>
      <c r="C98" t="s">
        <v>232</v>
      </c>
      <c r="D98" t="s">
        <v>255</v>
      </c>
      <c r="E98" s="19">
        <v>0.99</v>
      </c>
    </row>
    <row r="99" spans="1:5">
      <c r="A99" t="s">
        <v>486</v>
      </c>
      <c r="B99" t="s">
        <v>243</v>
      </c>
      <c r="C99" t="s">
        <v>228</v>
      </c>
      <c r="D99" t="s">
        <v>244</v>
      </c>
      <c r="E99" s="19">
        <v>0.74</v>
      </c>
    </row>
    <row r="100" spans="1:5">
      <c r="A100" t="s">
        <v>487</v>
      </c>
      <c r="B100" t="s">
        <v>246</v>
      </c>
      <c r="C100" t="s">
        <v>247</v>
      </c>
      <c r="D100" t="s">
        <v>248</v>
      </c>
      <c r="E100" s="19">
        <v>0.9</v>
      </c>
    </row>
    <row r="101" spans="1:5">
      <c r="A101" t="s">
        <v>488</v>
      </c>
      <c r="B101" t="s">
        <v>10</v>
      </c>
      <c r="C101" t="s">
        <v>228</v>
      </c>
      <c r="D101" t="s">
        <v>229</v>
      </c>
      <c r="E101" s="19">
        <v>0.92</v>
      </c>
    </row>
    <row r="102" spans="1:5">
      <c r="A102" t="s">
        <v>489</v>
      </c>
      <c r="B102" t="s">
        <v>268</v>
      </c>
      <c r="C102" t="s">
        <v>236</v>
      </c>
      <c r="D102" t="s">
        <v>269</v>
      </c>
      <c r="E102" s="19">
        <v>0.97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B60CC-E833-4AB7-B399-324647D0EF1C}">
  <dimension ref="A2:K101"/>
  <sheetViews>
    <sheetView workbookViewId="0">
      <selection activeCell="A6" sqref="A6"/>
    </sheetView>
  </sheetViews>
  <sheetFormatPr defaultRowHeight="15"/>
  <cols>
    <col min="1" max="11" width="23.5703125" customWidth="1"/>
  </cols>
  <sheetData>
    <row r="2" spans="1:11" ht="26.25" customHeight="1">
      <c r="A2" s="4" t="s">
        <v>0</v>
      </c>
      <c r="B2" s="4" t="s">
        <v>224</v>
      </c>
      <c r="C2" s="4" t="s">
        <v>490</v>
      </c>
      <c r="D2" s="4" t="s">
        <v>491</v>
      </c>
      <c r="E2" s="4" t="s">
        <v>225</v>
      </c>
      <c r="F2" s="4" t="s">
        <v>2</v>
      </c>
      <c r="G2" s="4" t="s">
        <v>3</v>
      </c>
      <c r="H2" s="4" t="s">
        <v>226</v>
      </c>
      <c r="I2" s="4" t="s">
        <v>4</v>
      </c>
      <c r="J2" s="4" t="s">
        <v>5</v>
      </c>
      <c r="K2" s="4" t="s">
        <v>8</v>
      </c>
    </row>
    <row r="3" spans="1:11">
      <c r="A3" s="5" t="s">
        <v>227</v>
      </c>
      <c r="B3" s="5" t="s">
        <v>10</v>
      </c>
      <c r="C3" s="5" t="s">
        <v>492</v>
      </c>
      <c r="D3" s="5" t="s">
        <v>493</v>
      </c>
      <c r="E3" s="5" t="s">
        <v>228</v>
      </c>
      <c r="F3" s="5" t="s">
        <v>11</v>
      </c>
      <c r="G3" s="5" t="s">
        <v>12</v>
      </c>
      <c r="H3" s="5" t="s">
        <v>229</v>
      </c>
      <c r="I3" s="5" t="s">
        <v>494</v>
      </c>
      <c r="J3" s="5" t="s">
        <v>495</v>
      </c>
      <c r="K3" s="6">
        <v>0.92</v>
      </c>
    </row>
    <row r="4" spans="1:11">
      <c r="A4" s="5" t="s">
        <v>230</v>
      </c>
      <c r="B4" s="5" t="s">
        <v>231</v>
      </c>
      <c r="C4" s="5" t="s">
        <v>496</v>
      </c>
      <c r="D4" s="5" t="s">
        <v>497</v>
      </c>
      <c r="E4" s="5" t="s">
        <v>232</v>
      </c>
      <c r="F4" s="5" t="s">
        <v>11</v>
      </c>
      <c r="G4" s="5" t="s">
        <v>15</v>
      </c>
      <c r="H4" s="5" t="s">
        <v>233</v>
      </c>
      <c r="I4" s="5" t="s">
        <v>498</v>
      </c>
      <c r="J4" s="5" t="s">
        <v>499</v>
      </c>
      <c r="K4" s="6">
        <v>0.96</v>
      </c>
    </row>
    <row r="5" spans="1:11">
      <c r="A5" s="5" t="s">
        <v>234</v>
      </c>
      <c r="B5" s="5" t="s">
        <v>235</v>
      </c>
      <c r="C5" s="5" t="s">
        <v>500</v>
      </c>
      <c r="D5" s="5" t="s">
        <v>501</v>
      </c>
      <c r="E5" s="5" t="s">
        <v>236</v>
      </c>
      <c r="F5" s="5" t="s">
        <v>18</v>
      </c>
      <c r="G5" s="5" t="s">
        <v>12</v>
      </c>
      <c r="H5" s="5" t="s">
        <v>237</v>
      </c>
      <c r="I5" s="5" t="s">
        <v>502</v>
      </c>
      <c r="J5" s="5" t="s">
        <v>503</v>
      </c>
      <c r="K5" s="6">
        <v>0.81</v>
      </c>
    </row>
    <row r="6" spans="1:11">
      <c r="A6" s="5" t="s">
        <v>238</v>
      </c>
      <c r="B6" s="5" t="s">
        <v>239</v>
      </c>
      <c r="C6" s="5" t="s">
        <v>504</v>
      </c>
      <c r="D6" s="5" t="s">
        <v>505</v>
      </c>
      <c r="E6" s="5" t="s">
        <v>240</v>
      </c>
      <c r="F6" s="5" t="s">
        <v>18</v>
      </c>
      <c r="G6" s="5" t="s">
        <v>15</v>
      </c>
      <c r="H6" s="5" t="s">
        <v>241</v>
      </c>
      <c r="I6" s="5" t="s">
        <v>506</v>
      </c>
      <c r="J6" s="5" t="s">
        <v>507</v>
      </c>
      <c r="K6" s="6">
        <v>0.98</v>
      </c>
    </row>
    <row r="7" spans="1:11">
      <c r="A7" s="5" t="s">
        <v>242</v>
      </c>
      <c r="B7" s="5" t="s">
        <v>243</v>
      </c>
      <c r="C7" s="5" t="s">
        <v>508</v>
      </c>
      <c r="D7" s="5" t="s">
        <v>509</v>
      </c>
      <c r="E7" s="5" t="s">
        <v>228</v>
      </c>
      <c r="F7" s="5" t="s">
        <v>11</v>
      </c>
      <c r="G7" s="5" t="s">
        <v>12</v>
      </c>
      <c r="H7" s="5" t="s">
        <v>244</v>
      </c>
      <c r="I7" s="5" t="s">
        <v>510</v>
      </c>
      <c r="J7" s="5" t="s">
        <v>511</v>
      </c>
      <c r="K7" s="6">
        <v>0.74</v>
      </c>
    </row>
    <row r="8" spans="1:11">
      <c r="A8" s="5" t="s">
        <v>245</v>
      </c>
      <c r="B8" s="5" t="s">
        <v>246</v>
      </c>
      <c r="C8" s="5" t="s">
        <v>512</v>
      </c>
      <c r="D8" s="5" t="s">
        <v>513</v>
      </c>
      <c r="E8" s="5" t="s">
        <v>247</v>
      </c>
      <c r="F8" s="5" t="s">
        <v>21</v>
      </c>
      <c r="G8" s="5" t="s">
        <v>15</v>
      </c>
      <c r="H8" s="5" t="s">
        <v>248</v>
      </c>
      <c r="I8" s="5" t="s">
        <v>514</v>
      </c>
      <c r="J8" s="5" t="s">
        <v>515</v>
      </c>
      <c r="K8" s="6">
        <v>0.9</v>
      </c>
    </row>
    <row r="9" spans="1:11">
      <c r="A9" s="5" t="s">
        <v>249</v>
      </c>
      <c r="B9" s="5" t="s">
        <v>250</v>
      </c>
      <c r="C9" s="5" t="s">
        <v>516</v>
      </c>
      <c r="D9" s="5" t="s">
        <v>517</v>
      </c>
      <c r="E9" s="5" t="s">
        <v>251</v>
      </c>
      <c r="F9" s="5" t="s">
        <v>21</v>
      </c>
      <c r="G9" s="5" t="s">
        <v>12</v>
      </c>
      <c r="H9" s="5" t="s">
        <v>252</v>
      </c>
      <c r="I9" s="5" t="s">
        <v>518</v>
      </c>
      <c r="J9" s="5" t="s">
        <v>519</v>
      </c>
      <c r="K9" s="6">
        <v>0.85</v>
      </c>
    </row>
    <row r="10" spans="1:11">
      <c r="A10" s="5" t="s">
        <v>253</v>
      </c>
      <c r="B10" s="5" t="s">
        <v>254</v>
      </c>
      <c r="C10" s="5" t="s">
        <v>520</v>
      </c>
      <c r="D10" s="5" t="s">
        <v>521</v>
      </c>
      <c r="E10" s="5" t="s">
        <v>232</v>
      </c>
      <c r="F10" s="5" t="s">
        <v>11</v>
      </c>
      <c r="G10" s="5" t="s">
        <v>15</v>
      </c>
      <c r="H10" s="5" t="s">
        <v>255</v>
      </c>
      <c r="I10" s="5" t="s">
        <v>522</v>
      </c>
      <c r="J10" s="5" t="s">
        <v>523</v>
      </c>
      <c r="K10" s="6">
        <v>0.99</v>
      </c>
    </row>
    <row r="11" spans="1:11">
      <c r="A11" s="5" t="s">
        <v>256</v>
      </c>
      <c r="B11" s="5" t="s">
        <v>257</v>
      </c>
      <c r="C11" s="5" t="s">
        <v>524</v>
      </c>
      <c r="D11" s="5" t="s">
        <v>525</v>
      </c>
      <c r="E11" s="5" t="s">
        <v>236</v>
      </c>
      <c r="F11" s="5" t="s">
        <v>18</v>
      </c>
      <c r="G11" s="5" t="s">
        <v>12</v>
      </c>
      <c r="H11" s="5" t="s">
        <v>258</v>
      </c>
      <c r="I11" s="5" t="s">
        <v>526</v>
      </c>
      <c r="J11" s="5" t="s">
        <v>527</v>
      </c>
      <c r="K11" s="6">
        <v>0.68</v>
      </c>
    </row>
    <row r="12" spans="1:11">
      <c r="A12" s="5" t="s">
        <v>259</v>
      </c>
      <c r="B12" s="5" t="s">
        <v>33</v>
      </c>
      <c r="C12" s="5" t="s">
        <v>528</v>
      </c>
      <c r="D12" s="5" t="s">
        <v>529</v>
      </c>
      <c r="E12" s="5" t="s">
        <v>240</v>
      </c>
      <c r="F12" s="5" t="s">
        <v>18</v>
      </c>
      <c r="G12" s="5" t="s">
        <v>15</v>
      </c>
      <c r="H12" s="5" t="s">
        <v>260</v>
      </c>
      <c r="I12" s="5" t="s">
        <v>530</v>
      </c>
      <c r="J12" s="5" t="s">
        <v>531</v>
      </c>
      <c r="K12" s="6">
        <v>0.88</v>
      </c>
    </row>
    <row r="13" spans="1:11">
      <c r="A13" s="5" t="s">
        <v>261</v>
      </c>
      <c r="B13" s="5" t="s">
        <v>262</v>
      </c>
      <c r="C13" s="5" t="s">
        <v>532</v>
      </c>
      <c r="D13" s="5" t="s">
        <v>533</v>
      </c>
      <c r="E13" s="5" t="s">
        <v>251</v>
      </c>
      <c r="F13" s="5" t="s">
        <v>21</v>
      </c>
      <c r="G13" s="5" t="s">
        <v>12</v>
      </c>
      <c r="H13" s="5" t="s">
        <v>263</v>
      </c>
      <c r="I13" s="5" t="s">
        <v>534</v>
      </c>
      <c r="J13" s="5" t="s">
        <v>535</v>
      </c>
      <c r="K13" s="6">
        <v>0.93</v>
      </c>
    </row>
    <row r="14" spans="1:11">
      <c r="A14" s="5" t="s">
        <v>264</v>
      </c>
      <c r="B14" s="5" t="s">
        <v>265</v>
      </c>
      <c r="C14" s="5" t="s">
        <v>536</v>
      </c>
      <c r="D14" s="5" t="s">
        <v>537</v>
      </c>
      <c r="E14" s="5" t="s">
        <v>232</v>
      </c>
      <c r="F14" s="5" t="s">
        <v>11</v>
      </c>
      <c r="G14" s="5" t="s">
        <v>15</v>
      </c>
      <c r="H14" s="5" t="s">
        <v>266</v>
      </c>
      <c r="I14" s="5" t="s">
        <v>538</v>
      </c>
      <c r="J14" s="5" t="s">
        <v>539</v>
      </c>
      <c r="K14" s="6">
        <v>0.79</v>
      </c>
    </row>
    <row r="15" spans="1:11">
      <c r="A15" s="5" t="s">
        <v>267</v>
      </c>
      <c r="B15" s="5" t="s">
        <v>268</v>
      </c>
      <c r="C15" s="5" t="s">
        <v>540</v>
      </c>
      <c r="D15" s="5" t="s">
        <v>541</v>
      </c>
      <c r="E15" s="5" t="s">
        <v>236</v>
      </c>
      <c r="F15" s="5" t="s">
        <v>18</v>
      </c>
      <c r="G15" s="5" t="s">
        <v>12</v>
      </c>
      <c r="H15" s="5" t="s">
        <v>269</v>
      </c>
      <c r="I15" s="5" t="s">
        <v>542</v>
      </c>
      <c r="J15" s="5" t="s">
        <v>543</v>
      </c>
      <c r="K15" s="6">
        <v>0.97</v>
      </c>
    </row>
    <row r="16" spans="1:11">
      <c r="A16" s="5" t="s">
        <v>270</v>
      </c>
      <c r="B16" s="5" t="s">
        <v>271</v>
      </c>
      <c r="C16" s="5" t="s">
        <v>544</v>
      </c>
      <c r="D16" s="5" t="s">
        <v>545</v>
      </c>
      <c r="E16" s="5" t="s">
        <v>247</v>
      </c>
      <c r="F16" s="5" t="s">
        <v>21</v>
      </c>
      <c r="G16" s="5" t="s">
        <v>15</v>
      </c>
      <c r="H16" s="5" t="s">
        <v>272</v>
      </c>
      <c r="I16" s="5" t="s">
        <v>546</v>
      </c>
      <c r="J16" s="5" t="s">
        <v>547</v>
      </c>
      <c r="K16" s="6">
        <v>0.91</v>
      </c>
    </row>
    <row r="17" spans="1:11">
      <c r="A17" s="5" t="s">
        <v>273</v>
      </c>
      <c r="B17" s="5" t="s">
        <v>274</v>
      </c>
      <c r="C17" s="5" t="s">
        <v>548</v>
      </c>
      <c r="D17" s="5" t="s">
        <v>549</v>
      </c>
      <c r="E17" s="5" t="s">
        <v>228</v>
      </c>
      <c r="F17" s="5" t="s">
        <v>11</v>
      </c>
      <c r="G17" s="5" t="s">
        <v>12</v>
      </c>
      <c r="H17" s="5" t="s">
        <v>275</v>
      </c>
      <c r="I17" s="5" t="s">
        <v>550</v>
      </c>
      <c r="J17" s="5" t="s">
        <v>551</v>
      </c>
      <c r="K17" s="6">
        <v>0.76</v>
      </c>
    </row>
    <row r="18" spans="1:11">
      <c r="A18" s="5" t="s">
        <v>276</v>
      </c>
      <c r="B18" s="5" t="s">
        <v>277</v>
      </c>
      <c r="C18" s="5" t="s">
        <v>552</v>
      </c>
      <c r="D18" s="5" t="s">
        <v>553</v>
      </c>
      <c r="E18" s="5" t="s">
        <v>240</v>
      </c>
      <c r="F18" s="5" t="s">
        <v>18</v>
      </c>
      <c r="G18" s="5" t="s">
        <v>15</v>
      </c>
      <c r="H18" s="5" t="s">
        <v>278</v>
      </c>
      <c r="I18" s="5" t="s">
        <v>554</v>
      </c>
      <c r="J18" s="5" t="s">
        <v>555</v>
      </c>
      <c r="K18" s="6">
        <v>0.98</v>
      </c>
    </row>
    <row r="19" spans="1:11">
      <c r="A19" s="5" t="s">
        <v>279</v>
      </c>
      <c r="B19" s="5" t="s">
        <v>280</v>
      </c>
      <c r="C19" s="5" t="s">
        <v>556</v>
      </c>
      <c r="D19" s="5" t="s">
        <v>557</v>
      </c>
      <c r="E19" s="5" t="s">
        <v>251</v>
      </c>
      <c r="F19" s="5" t="s">
        <v>21</v>
      </c>
      <c r="G19" s="5" t="s">
        <v>12</v>
      </c>
      <c r="H19" s="5" t="s">
        <v>281</v>
      </c>
      <c r="I19" s="5" t="s">
        <v>558</v>
      </c>
      <c r="J19" s="5" t="s">
        <v>559</v>
      </c>
      <c r="K19" s="6">
        <v>0.83</v>
      </c>
    </row>
    <row r="20" spans="1:11">
      <c r="A20" s="5" t="s">
        <v>282</v>
      </c>
      <c r="B20" s="5" t="s">
        <v>283</v>
      </c>
      <c r="C20" s="5" t="s">
        <v>560</v>
      </c>
      <c r="D20" s="5" t="s">
        <v>561</v>
      </c>
      <c r="E20" s="5" t="s">
        <v>232</v>
      </c>
      <c r="F20" s="5" t="s">
        <v>11</v>
      </c>
      <c r="G20" s="5" t="s">
        <v>15</v>
      </c>
      <c r="H20" s="5" t="s">
        <v>284</v>
      </c>
      <c r="I20" s="5" t="s">
        <v>562</v>
      </c>
      <c r="J20" s="5" t="s">
        <v>495</v>
      </c>
      <c r="K20" s="6">
        <v>0.89</v>
      </c>
    </row>
    <row r="21" spans="1:11">
      <c r="A21" s="5" t="s">
        <v>285</v>
      </c>
      <c r="B21" s="5" t="s">
        <v>286</v>
      </c>
      <c r="C21" s="5" t="s">
        <v>563</v>
      </c>
      <c r="D21" s="5" t="s">
        <v>564</v>
      </c>
      <c r="E21" s="5" t="s">
        <v>236</v>
      </c>
      <c r="F21" s="5" t="s">
        <v>18</v>
      </c>
      <c r="G21" s="5" t="s">
        <v>12</v>
      </c>
      <c r="H21" s="5" t="s">
        <v>287</v>
      </c>
      <c r="I21" s="5" t="s">
        <v>565</v>
      </c>
      <c r="J21" s="5" t="s">
        <v>566</v>
      </c>
      <c r="K21" s="6">
        <v>0.65</v>
      </c>
    </row>
    <row r="22" spans="1:11">
      <c r="A22" s="5" t="s">
        <v>288</v>
      </c>
      <c r="B22" s="5" t="s">
        <v>289</v>
      </c>
      <c r="C22" s="5" t="s">
        <v>567</v>
      </c>
      <c r="D22" s="5" t="s">
        <v>568</v>
      </c>
      <c r="E22" s="5" t="s">
        <v>247</v>
      </c>
      <c r="F22" s="5" t="s">
        <v>21</v>
      </c>
      <c r="G22" s="5" t="s">
        <v>15</v>
      </c>
      <c r="H22" s="5" t="s">
        <v>290</v>
      </c>
      <c r="I22" s="5" t="s">
        <v>569</v>
      </c>
      <c r="J22" s="5" t="s">
        <v>570</v>
      </c>
      <c r="K22" s="6">
        <v>0.95</v>
      </c>
    </row>
    <row r="23" spans="1:11">
      <c r="A23" s="5" t="s">
        <v>291</v>
      </c>
      <c r="B23" s="5" t="s">
        <v>292</v>
      </c>
      <c r="C23" s="5" t="s">
        <v>571</v>
      </c>
      <c r="D23" s="5" t="s">
        <v>572</v>
      </c>
      <c r="E23" s="5" t="s">
        <v>228</v>
      </c>
      <c r="F23" s="5" t="s">
        <v>11</v>
      </c>
      <c r="G23" s="5" t="s">
        <v>12</v>
      </c>
      <c r="H23" s="5" t="s">
        <v>293</v>
      </c>
      <c r="I23" s="5" t="s">
        <v>573</v>
      </c>
      <c r="J23" s="5" t="s">
        <v>574</v>
      </c>
      <c r="K23" s="6">
        <v>0.84</v>
      </c>
    </row>
    <row r="24" spans="1:11">
      <c r="A24" s="5" t="s">
        <v>294</v>
      </c>
      <c r="B24" s="5" t="s">
        <v>295</v>
      </c>
      <c r="C24" s="5" t="s">
        <v>575</v>
      </c>
      <c r="D24" s="5" t="s">
        <v>576</v>
      </c>
      <c r="E24" s="5" t="s">
        <v>240</v>
      </c>
      <c r="F24" s="5" t="s">
        <v>18</v>
      </c>
      <c r="G24" s="5" t="s">
        <v>15</v>
      </c>
      <c r="H24" s="5" t="s">
        <v>296</v>
      </c>
      <c r="I24" s="5" t="s">
        <v>577</v>
      </c>
      <c r="J24" s="5" t="s">
        <v>543</v>
      </c>
      <c r="K24" s="6">
        <v>0.96</v>
      </c>
    </row>
    <row r="25" spans="1:11">
      <c r="A25" s="5" t="s">
        <v>297</v>
      </c>
      <c r="B25" s="5" t="s">
        <v>298</v>
      </c>
      <c r="C25" s="5" t="s">
        <v>578</v>
      </c>
      <c r="D25" s="5" t="s">
        <v>579</v>
      </c>
      <c r="E25" s="5" t="s">
        <v>251</v>
      </c>
      <c r="F25" s="5" t="s">
        <v>21</v>
      </c>
      <c r="G25" s="5" t="s">
        <v>12</v>
      </c>
      <c r="H25" s="5" t="s">
        <v>299</v>
      </c>
      <c r="I25" s="5" t="s">
        <v>580</v>
      </c>
      <c r="J25" s="5" t="s">
        <v>581</v>
      </c>
      <c r="K25" s="6">
        <v>0.78</v>
      </c>
    </row>
    <row r="26" spans="1:11">
      <c r="A26" s="5" t="s">
        <v>300</v>
      </c>
      <c r="B26" s="5" t="s">
        <v>301</v>
      </c>
      <c r="C26" s="5" t="s">
        <v>582</v>
      </c>
      <c r="D26" s="5" t="s">
        <v>583</v>
      </c>
      <c r="E26" s="5" t="s">
        <v>232</v>
      </c>
      <c r="F26" s="5" t="s">
        <v>11</v>
      </c>
      <c r="G26" s="5" t="s">
        <v>15</v>
      </c>
      <c r="H26" s="5" t="s">
        <v>302</v>
      </c>
      <c r="I26" s="5" t="s">
        <v>584</v>
      </c>
      <c r="J26" s="5" t="s">
        <v>499</v>
      </c>
      <c r="K26" s="6">
        <v>0.99</v>
      </c>
    </row>
    <row r="27" spans="1:11">
      <c r="A27" s="5" t="s">
        <v>303</v>
      </c>
      <c r="B27" s="5" t="s">
        <v>304</v>
      </c>
      <c r="C27" s="5" t="s">
        <v>585</v>
      </c>
      <c r="D27" s="5" t="s">
        <v>586</v>
      </c>
      <c r="E27" s="5" t="s">
        <v>236</v>
      </c>
      <c r="F27" s="5" t="s">
        <v>18</v>
      </c>
      <c r="G27" s="5" t="s">
        <v>12</v>
      </c>
      <c r="H27" s="5" t="s">
        <v>305</v>
      </c>
      <c r="I27" s="5" t="s">
        <v>587</v>
      </c>
      <c r="J27" s="5" t="s">
        <v>588</v>
      </c>
      <c r="K27" s="6">
        <v>0.72</v>
      </c>
    </row>
    <row r="28" spans="1:11">
      <c r="A28" s="5" t="s">
        <v>306</v>
      </c>
      <c r="B28" s="5" t="s">
        <v>307</v>
      </c>
      <c r="C28" s="5" t="s">
        <v>589</v>
      </c>
      <c r="D28" s="5" t="s">
        <v>590</v>
      </c>
      <c r="E28" s="5" t="s">
        <v>247</v>
      </c>
      <c r="F28" s="5" t="s">
        <v>21</v>
      </c>
      <c r="G28" s="5" t="s">
        <v>15</v>
      </c>
      <c r="H28" s="5" t="s">
        <v>308</v>
      </c>
      <c r="I28" s="5" t="s">
        <v>591</v>
      </c>
      <c r="J28" s="5" t="s">
        <v>515</v>
      </c>
      <c r="K28" s="6">
        <v>0.92</v>
      </c>
    </row>
    <row r="29" spans="1:11">
      <c r="A29" s="5" t="s">
        <v>309</v>
      </c>
      <c r="B29" s="5" t="s">
        <v>63</v>
      </c>
      <c r="C29" s="5" t="s">
        <v>592</v>
      </c>
      <c r="D29" s="5" t="s">
        <v>593</v>
      </c>
      <c r="E29" s="5" t="s">
        <v>228</v>
      </c>
      <c r="F29" s="5" t="s">
        <v>11</v>
      </c>
      <c r="G29" s="5" t="s">
        <v>12</v>
      </c>
      <c r="H29" s="5" t="s">
        <v>310</v>
      </c>
      <c r="I29" s="5" t="s">
        <v>594</v>
      </c>
      <c r="J29" s="5" t="s">
        <v>595</v>
      </c>
      <c r="K29" s="6">
        <v>0.8</v>
      </c>
    </row>
    <row r="30" spans="1:11">
      <c r="A30" s="5" t="s">
        <v>311</v>
      </c>
      <c r="B30" s="5" t="s">
        <v>312</v>
      </c>
      <c r="C30" s="5" t="s">
        <v>596</v>
      </c>
      <c r="D30" s="5" t="s">
        <v>597</v>
      </c>
      <c r="E30" s="5" t="s">
        <v>240</v>
      </c>
      <c r="F30" s="5" t="s">
        <v>18</v>
      </c>
      <c r="G30" s="5" t="s">
        <v>15</v>
      </c>
      <c r="H30" s="5" t="s">
        <v>313</v>
      </c>
      <c r="I30" s="5" t="s">
        <v>598</v>
      </c>
      <c r="J30" s="5" t="s">
        <v>599</v>
      </c>
      <c r="K30" s="6">
        <v>0.97</v>
      </c>
    </row>
    <row r="31" spans="1:11">
      <c r="A31" s="5" t="s">
        <v>314</v>
      </c>
      <c r="B31" s="5" t="s">
        <v>315</v>
      </c>
      <c r="C31" s="5" t="s">
        <v>600</v>
      </c>
      <c r="D31" s="5" t="s">
        <v>601</v>
      </c>
      <c r="E31" s="5" t="s">
        <v>251</v>
      </c>
      <c r="F31" s="5" t="s">
        <v>21</v>
      </c>
      <c r="G31" s="5" t="s">
        <v>12</v>
      </c>
      <c r="H31" s="5" t="s">
        <v>316</v>
      </c>
      <c r="I31" s="5" t="s">
        <v>602</v>
      </c>
      <c r="J31" s="5" t="s">
        <v>603</v>
      </c>
      <c r="K31" s="6">
        <v>0.86</v>
      </c>
    </row>
    <row r="32" spans="1:11">
      <c r="A32" s="5" t="s">
        <v>317</v>
      </c>
      <c r="B32" s="5" t="s">
        <v>318</v>
      </c>
      <c r="C32" s="5" t="s">
        <v>604</v>
      </c>
      <c r="D32" s="5" t="s">
        <v>605</v>
      </c>
      <c r="E32" s="5" t="s">
        <v>232</v>
      </c>
      <c r="F32" s="5" t="s">
        <v>11</v>
      </c>
      <c r="G32" s="5" t="s">
        <v>15</v>
      </c>
      <c r="H32" s="5" t="s">
        <v>319</v>
      </c>
      <c r="I32" s="5" t="s">
        <v>606</v>
      </c>
      <c r="J32" s="5" t="s">
        <v>607</v>
      </c>
      <c r="K32" s="6">
        <v>0.9</v>
      </c>
    </row>
    <row r="33" spans="1:11">
      <c r="A33" s="5" t="s">
        <v>320</v>
      </c>
      <c r="B33" s="5" t="s">
        <v>321</v>
      </c>
      <c r="C33" s="5" t="s">
        <v>608</v>
      </c>
      <c r="D33" s="5" t="s">
        <v>609</v>
      </c>
      <c r="E33" s="5" t="s">
        <v>236</v>
      </c>
      <c r="F33" s="5" t="s">
        <v>18</v>
      </c>
      <c r="G33" s="5" t="s">
        <v>12</v>
      </c>
      <c r="H33" s="5" t="s">
        <v>322</v>
      </c>
      <c r="I33" s="5" t="s">
        <v>610</v>
      </c>
      <c r="J33" s="5" t="s">
        <v>611</v>
      </c>
      <c r="K33" s="6">
        <v>0.75</v>
      </c>
    </row>
    <row r="34" spans="1:11">
      <c r="A34" s="5" t="s">
        <v>323</v>
      </c>
      <c r="B34" s="5" t="s">
        <v>324</v>
      </c>
      <c r="C34" s="5" t="s">
        <v>612</v>
      </c>
      <c r="D34" s="5" t="s">
        <v>613</v>
      </c>
      <c r="E34" s="5" t="s">
        <v>247</v>
      </c>
      <c r="F34" s="5" t="s">
        <v>21</v>
      </c>
      <c r="G34" s="5" t="s">
        <v>15</v>
      </c>
      <c r="H34" s="5" t="s">
        <v>325</v>
      </c>
      <c r="I34" s="5" t="s">
        <v>498</v>
      </c>
      <c r="J34" s="5" t="s">
        <v>614</v>
      </c>
      <c r="K34" s="6">
        <v>0.94</v>
      </c>
    </row>
    <row r="35" spans="1:11">
      <c r="A35" s="5" t="s">
        <v>326</v>
      </c>
      <c r="B35" s="5" t="s">
        <v>327</v>
      </c>
      <c r="C35" s="5" t="s">
        <v>615</v>
      </c>
      <c r="D35" s="5" t="s">
        <v>616</v>
      </c>
      <c r="E35" s="5" t="s">
        <v>228</v>
      </c>
      <c r="F35" s="5" t="s">
        <v>11</v>
      </c>
      <c r="G35" s="5" t="s">
        <v>12</v>
      </c>
      <c r="H35" s="5" t="s">
        <v>328</v>
      </c>
      <c r="I35" s="5" t="s">
        <v>617</v>
      </c>
      <c r="J35" s="5" t="s">
        <v>618</v>
      </c>
      <c r="K35" s="6">
        <v>0.82</v>
      </c>
    </row>
    <row r="36" spans="1:11">
      <c r="A36" s="5" t="s">
        <v>329</v>
      </c>
      <c r="B36" s="5" t="s">
        <v>330</v>
      </c>
      <c r="C36" s="5" t="s">
        <v>619</v>
      </c>
      <c r="D36" s="5" t="s">
        <v>620</v>
      </c>
      <c r="E36" s="5" t="s">
        <v>240</v>
      </c>
      <c r="F36" s="5" t="s">
        <v>18</v>
      </c>
      <c r="G36" s="5" t="s">
        <v>15</v>
      </c>
      <c r="H36" s="5" t="s">
        <v>331</v>
      </c>
      <c r="I36" s="5" t="s">
        <v>621</v>
      </c>
      <c r="J36" s="5" t="s">
        <v>622</v>
      </c>
      <c r="K36" s="6">
        <v>0.99</v>
      </c>
    </row>
    <row r="37" spans="1:11">
      <c r="A37" s="5" t="s">
        <v>332</v>
      </c>
      <c r="B37" s="5" t="s">
        <v>333</v>
      </c>
      <c r="C37" s="5" t="s">
        <v>623</v>
      </c>
      <c r="D37" s="5" t="s">
        <v>624</v>
      </c>
      <c r="E37" s="5" t="s">
        <v>251</v>
      </c>
      <c r="F37" s="5" t="s">
        <v>21</v>
      </c>
      <c r="G37" s="5" t="s">
        <v>12</v>
      </c>
      <c r="H37" s="5" t="s">
        <v>334</v>
      </c>
      <c r="I37" s="5" t="s">
        <v>625</v>
      </c>
      <c r="J37" s="5" t="s">
        <v>626</v>
      </c>
      <c r="K37" s="6">
        <v>0.7</v>
      </c>
    </row>
    <row r="38" spans="1:11">
      <c r="A38" s="5" t="s">
        <v>335</v>
      </c>
      <c r="B38" s="5" t="s">
        <v>336</v>
      </c>
      <c r="C38" s="5" t="s">
        <v>627</v>
      </c>
      <c r="D38" s="5" t="s">
        <v>628</v>
      </c>
      <c r="E38" s="5" t="s">
        <v>232</v>
      </c>
      <c r="F38" s="5" t="s">
        <v>11</v>
      </c>
      <c r="G38" s="5" t="s">
        <v>15</v>
      </c>
      <c r="H38" s="5" t="s">
        <v>337</v>
      </c>
      <c r="I38" s="5" t="s">
        <v>629</v>
      </c>
      <c r="J38" s="5" t="s">
        <v>547</v>
      </c>
      <c r="K38" s="6">
        <v>0.91</v>
      </c>
    </row>
    <row r="39" spans="1:11">
      <c r="A39" s="5" t="s">
        <v>338</v>
      </c>
      <c r="B39" s="5" t="s">
        <v>339</v>
      </c>
      <c r="C39" s="5" t="s">
        <v>630</v>
      </c>
      <c r="D39" s="5" t="s">
        <v>631</v>
      </c>
      <c r="E39" s="5" t="s">
        <v>236</v>
      </c>
      <c r="F39" s="5" t="s">
        <v>18</v>
      </c>
      <c r="G39" s="5" t="s">
        <v>12</v>
      </c>
      <c r="H39" s="5" t="s">
        <v>340</v>
      </c>
      <c r="I39" s="5" t="s">
        <v>632</v>
      </c>
      <c r="J39" s="5" t="s">
        <v>633</v>
      </c>
      <c r="K39" s="6">
        <v>0.87</v>
      </c>
    </row>
    <row r="40" spans="1:11">
      <c r="A40" s="5" t="s">
        <v>341</v>
      </c>
      <c r="B40" s="5" t="s">
        <v>342</v>
      </c>
      <c r="C40" s="5" t="s">
        <v>634</v>
      </c>
      <c r="D40" s="5" t="s">
        <v>635</v>
      </c>
      <c r="E40" s="5" t="s">
        <v>247</v>
      </c>
      <c r="F40" s="5" t="s">
        <v>21</v>
      </c>
      <c r="G40" s="5" t="s">
        <v>15</v>
      </c>
      <c r="H40" s="5" t="s">
        <v>343</v>
      </c>
      <c r="I40" s="5" t="s">
        <v>542</v>
      </c>
      <c r="J40" s="5" t="s">
        <v>523</v>
      </c>
      <c r="K40" s="6">
        <v>0.96</v>
      </c>
    </row>
    <row r="41" spans="1:11">
      <c r="A41" s="5" t="s">
        <v>344</v>
      </c>
      <c r="B41" s="5" t="s">
        <v>345</v>
      </c>
      <c r="C41" s="5" t="s">
        <v>636</v>
      </c>
      <c r="D41" s="5" t="s">
        <v>637</v>
      </c>
      <c r="E41" s="5" t="s">
        <v>228</v>
      </c>
      <c r="F41" s="5" t="s">
        <v>11</v>
      </c>
      <c r="G41" s="5" t="s">
        <v>12</v>
      </c>
      <c r="H41" s="5" t="s">
        <v>346</v>
      </c>
      <c r="I41" s="5" t="s">
        <v>638</v>
      </c>
      <c r="J41" s="5" t="s">
        <v>639</v>
      </c>
      <c r="K41" s="6">
        <v>0.79</v>
      </c>
    </row>
    <row r="42" spans="1:11">
      <c r="A42" s="5" t="s">
        <v>347</v>
      </c>
      <c r="B42" s="5" t="s">
        <v>348</v>
      </c>
      <c r="C42" s="5" t="s">
        <v>640</v>
      </c>
      <c r="D42" s="5" t="s">
        <v>641</v>
      </c>
      <c r="E42" s="5" t="s">
        <v>240</v>
      </c>
      <c r="F42" s="5" t="s">
        <v>18</v>
      </c>
      <c r="G42" s="5" t="s">
        <v>15</v>
      </c>
      <c r="H42" s="5" t="s">
        <v>349</v>
      </c>
      <c r="I42" s="5" t="s">
        <v>534</v>
      </c>
      <c r="J42" s="5" t="s">
        <v>507</v>
      </c>
      <c r="K42" s="6">
        <v>0.93</v>
      </c>
    </row>
    <row r="43" spans="1:11">
      <c r="A43" s="5" t="s">
        <v>350</v>
      </c>
      <c r="B43" s="5" t="s">
        <v>351</v>
      </c>
      <c r="C43" s="5" t="s">
        <v>642</v>
      </c>
      <c r="D43" s="5" t="s">
        <v>643</v>
      </c>
      <c r="E43" s="5" t="s">
        <v>251</v>
      </c>
      <c r="F43" s="5" t="s">
        <v>21</v>
      </c>
      <c r="G43" s="5" t="s">
        <v>12</v>
      </c>
      <c r="H43" s="5" t="s">
        <v>352</v>
      </c>
      <c r="I43" s="5" t="s">
        <v>644</v>
      </c>
      <c r="J43" s="5" t="s">
        <v>645</v>
      </c>
      <c r="K43" s="6">
        <v>0.73</v>
      </c>
    </row>
    <row r="44" spans="1:11">
      <c r="A44" s="5" t="s">
        <v>353</v>
      </c>
      <c r="B44" s="5" t="s">
        <v>354</v>
      </c>
      <c r="C44" s="5" t="s">
        <v>646</v>
      </c>
      <c r="D44" s="5" t="s">
        <v>647</v>
      </c>
      <c r="E44" s="5" t="s">
        <v>232</v>
      </c>
      <c r="F44" s="5" t="s">
        <v>11</v>
      </c>
      <c r="G44" s="5" t="s">
        <v>15</v>
      </c>
      <c r="H44" s="5" t="s">
        <v>355</v>
      </c>
      <c r="I44" s="5" t="s">
        <v>506</v>
      </c>
      <c r="J44" s="5" t="s">
        <v>570</v>
      </c>
      <c r="K44" s="6">
        <v>0.97</v>
      </c>
    </row>
    <row r="45" spans="1:11">
      <c r="A45" s="5" t="s">
        <v>356</v>
      </c>
      <c r="B45" s="5" t="s">
        <v>357</v>
      </c>
      <c r="C45" s="5" t="s">
        <v>648</v>
      </c>
      <c r="D45" s="5" t="s">
        <v>649</v>
      </c>
      <c r="E45" s="5" t="s">
        <v>236</v>
      </c>
      <c r="F45" s="5" t="s">
        <v>18</v>
      </c>
      <c r="G45" s="5" t="s">
        <v>12</v>
      </c>
      <c r="H45" s="5" t="s">
        <v>358</v>
      </c>
      <c r="I45" s="5" t="s">
        <v>650</v>
      </c>
      <c r="J45" s="5" t="s">
        <v>651</v>
      </c>
      <c r="K45" s="6">
        <v>0.85</v>
      </c>
    </row>
    <row r="46" spans="1:11">
      <c r="A46" s="5" t="s">
        <v>359</v>
      </c>
      <c r="B46" s="5" t="s">
        <v>360</v>
      </c>
      <c r="C46" s="5" t="s">
        <v>652</v>
      </c>
      <c r="D46" s="5" t="s">
        <v>653</v>
      </c>
      <c r="E46" s="5" t="s">
        <v>247</v>
      </c>
      <c r="F46" s="5" t="s">
        <v>21</v>
      </c>
      <c r="G46" s="5" t="s">
        <v>15</v>
      </c>
      <c r="H46" s="5" t="s">
        <v>361</v>
      </c>
      <c r="I46" s="5" t="s">
        <v>546</v>
      </c>
      <c r="J46" s="5" t="s">
        <v>543</v>
      </c>
      <c r="K46" s="6">
        <v>0.94</v>
      </c>
    </row>
    <row r="47" spans="1:11">
      <c r="A47" s="5" t="s">
        <v>362</v>
      </c>
      <c r="B47" s="5" t="s">
        <v>363</v>
      </c>
      <c r="C47" s="5" t="s">
        <v>654</v>
      </c>
      <c r="D47" s="5" t="s">
        <v>655</v>
      </c>
      <c r="E47" s="5" t="s">
        <v>228</v>
      </c>
      <c r="F47" s="5" t="s">
        <v>11</v>
      </c>
      <c r="G47" s="5" t="s">
        <v>12</v>
      </c>
      <c r="H47" s="5" t="s">
        <v>364</v>
      </c>
      <c r="I47" s="5" t="s">
        <v>656</v>
      </c>
      <c r="J47" s="5" t="s">
        <v>657</v>
      </c>
      <c r="K47" s="6">
        <v>0.66</v>
      </c>
    </row>
    <row r="48" spans="1:11">
      <c r="A48" s="5" t="s">
        <v>365</v>
      </c>
      <c r="B48" s="5" t="s">
        <v>366</v>
      </c>
      <c r="C48" s="5" t="s">
        <v>658</v>
      </c>
      <c r="D48" s="5" t="s">
        <v>659</v>
      </c>
      <c r="E48" s="5" t="s">
        <v>240</v>
      </c>
      <c r="F48" s="5" t="s">
        <v>18</v>
      </c>
      <c r="G48" s="5" t="s">
        <v>15</v>
      </c>
      <c r="H48" s="5" t="s">
        <v>367</v>
      </c>
      <c r="I48" s="5" t="s">
        <v>577</v>
      </c>
      <c r="J48" s="5" t="s">
        <v>515</v>
      </c>
      <c r="K48" s="6">
        <v>0.95</v>
      </c>
    </row>
    <row r="49" spans="1:11">
      <c r="A49" s="5" t="s">
        <v>368</v>
      </c>
      <c r="B49" s="5" t="s">
        <v>369</v>
      </c>
      <c r="C49" s="5" t="s">
        <v>660</v>
      </c>
      <c r="D49" s="5" t="s">
        <v>661</v>
      </c>
      <c r="E49" s="5" t="s">
        <v>251</v>
      </c>
      <c r="F49" s="5" t="s">
        <v>21</v>
      </c>
      <c r="G49" s="5" t="s">
        <v>12</v>
      </c>
      <c r="H49" s="5" t="s">
        <v>370</v>
      </c>
      <c r="I49" s="5" t="s">
        <v>662</v>
      </c>
      <c r="J49" s="5" t="s">
        <v>595</v>
      </c>
      <c r="K49" s="6">
        <v>0.8</v>
      </c>
    </row>
    <row r="50" spans="1:11">
      <c r="A50" s="5" t="s">
        <v>371</v>
      </c>
      <c r="B50" s="5" t="s">
        <v>372</v>
      </c>
      <c r="C50" s="5" t="s">
        <v>663</v>
      </c>
      <c r="D50" s="5" t="s">
        <v>664</v>
      </c>
      <c r="E50" s="5" t="s">
        <v>232</v>
      </c>
      <c r="F50" s="5" t="s">
        <v>11</v>
      </c>
      <c r="G50" s="5" t="s">
        <v>15</v>
      </c>
      <c r="H50" s="5" t="s">
        <v>373</v>
      </c>
      <c r="I50" s="5" t="s">
        <v>554</v>
      </c>
      <c r="J50" s="5" t="s">
        <v>599</v>
      </c>
      <c r="K50" s="6">
        <v>0.98</v>
      </c>
    </row>
    <row r="51" spans="1:11">
      <c r="A51" s="5" t="s">
        <v>374</v>
      </c>
      <c r="B51" s="5" t="s">
        <v>375</v>
      </c>
      <c r="C51" s="5" t="s">
        <v>665</v>
      </c>
      <c r="D51" s="5" t="s">
        <v>605</v>
      </c>
      <c r="E51" s="5" t="s">
        <v>236</v>
      </c>
      <c r="F51" s="5" t="s">
        <v>18</v>
      </c>
      <c r="G51" s="5" t="s">
        <v>12</v>
      </c>
      <c r="H51" s="5" t="s">
        <v>376</v>
      </c>
      <c r="I51" s="5" t="s">
        <v>666</v>
      </c>
      <c r="J51" s="5" t="s">
        <v>667</v>
      </c>
      <c r="K51" s="6">
        <v>0.86</v>
      </c>
    </row>
    <row r="52" spans="1:11">
      <c r="A52" s="5" t="s">
        <v>377</v>
      </c>
      <c r="B52" s="5" t="s">
        <v>378</v>
      </c>
      <c r="C52" s="5" t="s">
        <v>668</v>
      </c>
      <c r="D52" s="5" t="s">
        <v>669</v>
      </c>
      <c r="E52" s="5" t="s">
        <v>247</v>
      </c>
      <c r="F52" s="5" t="s">
        <v>21</v>
      </c>
      <c r="G52" s="5" t="s">
        <v>15</v>
      </c>
      <c r="H52" s="5" t="s">
        <v>379</v>
      </c>
      <c r="I52" s="5" t="s">
        <v>562</v>
      </c>
      <c r="J52" s="5" t="s">
        <v>670</v>
      </c>
      <c r="K52" s="6">
        <v>0.9</v>
      </c>
    </row>
    <row r="53" spans="1:11">
      <c r="A53" s="5" t="s">
        <v>380</v>
      </c>
      <c r="B53" s="5" t="s">
        <v>381</v>
      </c>
      <c r="C53" s="5" t="s">
        <v>671</v>
      </c>
      <c r="D53" s="5" t="s">
        <v>672</v>
      </c>
      <c r="E53" s="5" t="s">
        <v>228</v>
      </c>
      <c r="F53" s="5" t="s">
        <v>11</v>
      </c>
      <c r="G53" s="5" t="s">
        <v>12</v>
      </c>
      <c r="H53" s="5" t="s">
        <v>382</v>
      </c>
      <c r="I53" s="5" t="s">
        <v>673</v>
      </c>
      <c r="J53" s="5" t="s">
        <v>674</v>
      </c>
      <c r="K53" s="6">
        <v>0.71</v>
      </c>
    </row>
    <row r="54" spans="1:11">
      <c r="A54" s="5" t="s">
        <v>383</v>
      </c>
      <c r="B54" s="5" t="s">
        <v>384</v>
      </c>
      <c r="C54" s="5" t="s">
        <v>675</v>
      </c>
      <c r="D54" s="5" t="s">
        <v>676</v>
      </c>
      <c r="E54" s="5" t="s">
        <v>240</v>
      </c>
      <c r="F54" s="5" t="s">
        <v>18</v>
      </c>
      <c r="G54" s="5" t="s">
        <v>15</v>
      </c>
      <c r="H54" s="5" t="s">
        <v>385</v>
      </c>
      <c r="I54" s="5" t="s">
        <v>569</v>
      </c>
      <c r="J54" s="5" t="s">
        <v>499</v>
      </c>
      <c r="K54" s="6">
        <v>0.96</v>
      </c>
    </row>
    <row r="55" spans="1:11">
      <c r="A55" s="5" t="s">
        <v>386</v>
      </c>
      <c r="B55" s="5" t="s">
        <v>387</v>
      </c>
      <c r="C55" s="5" t="s">
        <v>677</v>
      </c>
      <c r="D55" s="5" t="s">
        <v>678</v>
      </c>
      <c r="E55" s="5" t="s">
        <v>251</v>
      </c>
      <c r="F55" s="5" t="s">
        <v>21</v>
      </c>
      <c r="G55" s="5" t="s">
        <v>12</v>
      </c>
      <c r="H55" s="5" t="s">
        <v>388</v>
      </c>
      <c r="I55" s="5" t="s">
        <v>679</v>
      </c>
      <c r="J55" s="5" t="s">
        <v>539</v>
      </c>
      <c r="K55" s="6">
        <v>0.83</v>
      </c>
    </row>
    <row r="56" spans="1:11">
      <c r="A56" s="5" t="s">
        <v>389</v>
      </c>
      <c r="B56" s="5" t="s">
        <v>390</v>
      </c>
      <c r="C56" s="5" t="s">
        <v>680</v>
      </c>
      <c r="D56" s="5" t="s">
        <v>681</v>
      </c>
      <c r="E56" s="5" t="s">
        <v>232</v>
      </c>
      <c r="F56" s="5" t="s">
        <v>11</v>
      </c>
      <c r="G56" s="5" t="s">
        <v>15</v>
      </c>
      <c r="H56" s="5" t="s">
        <v>391</v>
      </c>
      <c r="I56" s="5" t="s">
        <v>522</v>
      </c>
      <c r="J56" s="5" t="s">
        <v>682</v>
      </c>
      <c r="K56" s="6">
        <v>0.99</v>
      </c>
    </row>
    <row r="57" spans="1:11">
      <c r="A57" s="5" t="s">
        <v>392</v>
      </c>
      <c r="B57" s="5" t="s">
        <v>393</v>
      </c>
      <c r="C57" s="5" t="s">
        <v>683</v>
      </c>
      <c r="D57" s="5" t="s">
        <v>684</v>
      </c>
      <c r="E57" s="5" t="s">
        <v>236</v>
      </c>
      <c r="F57" s="5" t="s">
        <v>18</v>
      </c>
      <c r="G57" s="5" t="s">
        <v>12</v>
      </c>
      <c r="H57" s="5" t="s">
        <v>394</v>
      </c>
      <c r="I57" s="5" t="s">
        <v>685</v>
      </c>
      <c r="J57" s="5" t="s">
        <v>686</v>
      </c>
      <c r="K57" s="6">
        <v>0.77</v>
      </c>
    </row>
    <row r="58" spans="1:11">
      <c r="A58" s="5" t="s">
        <v>395</v>
      </c>
      <c r="B58" s="5" t="s">
        <v>396</v>
      </c>
      <c r="C58" s="5" t="s">
        <v>687</v>
      </c>
      <c r="D58" s="5" t="s">
        <v>628</v>
      </c>
      <c r="E58" s="5" t="s">
        <v>247</v>
      </c>
      <c r="F58" s="5" t="s">
        <v>21</v>
      </c>
      <c r="G58" s="5" t="s">
        <v>15</v>
      </c>
      <c r="H58" s="5" t="s">
        <v>397</v>
      </c>
      <c r="I58" s="5" t="s">
        <v>514</v>
      </c>
      <c r="J58" s="5" t="s">
        <v>614</v>
      </c>
      <c r="K58" s="6">
        <v>0.91</v>
      </c>
    </row>
    <row r="59" spans="1:11">
      <c r="A59" s="5" t="s">
        <v>398</v>
      </c>
      <c r="B59" s="5" t="s">
        <v>399</v>
      </c>
      <c r="C59" s="5" t="s">
        <v>688</v>
      </c>
      <c r="D59" s="5" t="s">
        <v>689</v>
      </c>
      <c r="E59" s="5" t="s">
        <v>228</v>
      </c>
      <c r="F59" s="5" t="s">
        <v>11</v>
      </c>
      <c r="G59" s="5" t="s">
        <v>12</v>
      </c>
      <c r="H59" s="5" t="s">
        <v>400</v>
      </c>
      <c r="I59" s="5" t="s">
        <v>530</v>
      </c>
      <c r="J59" s="5" t="s">
        <v>690</v>
      </c>
      <c r="K59" s="6">
        <v>0.89</v>
      </c>
    </row>
    <row r="60" spans="1:11">
      <c r="A60" s="5" t="s">
        <v>401</v>
      </c>
      <c r="B60" s="5" t="s">
        <v>402</v>
      </c>
      <c r="C60" s="5" t="s">
        <v>691</v>
      </c>
      <c r="D60" s="5" t="s">
        <v>692</v>
      </c>
      <c r="E60" s="5" t="s">
        <v>240</v>
      </c>
      <c r="F60" s="5" t="s">
        <v>18</v>
      </c>
      <c r="G60" s="5" t="s">
        <v>15</v>
      </c>
      <c r="H60" s="5" t="s">
        <v>403</v>
      </c>
      <c r="I60" s="5" t="s">
        <v>598</v>
      </c>
      <c r="J60" s="5" t="s">
        <v>570</v>
      </c>
      <c r="K60" s="6">
        <v>0.97</v>
      </c>
    </row>
    <row r="61" spans="1:11">
      <c r="A61" s="5" t="s">
        <v>404</v>
      </c>
      <c r="B61" s="5" t="s">
        <v>405</v>
      </c>
      <c r="C61" s="5" t="s">
        <v>693</v>
      </c>
      <c r="D61" s="5" t="s">
        <v>694</v>
      </c>
      <c r="E61" s="5" t="s">
        <v>251</v>
      </c>
      <c r="F61" s="5" t="s">
        <v>21</v>
      </c>
      <c r="G61" s="5" t="s">
        <v>12</v>
      </c>
      <c r="H61" s="5" t="s">
        <v>406</v>
      </c>
      <c r="I61" s="5" t="s">
        <v>695</v>
      </c>
      <c r="J61" s="5" t="s">
        <v>696</v>
      </c>
      <c r="K61" s="6">
        <v>0.67</v>
      </c>
    </row>
    <row r="62" spans="1:11">
      <c r="A62" s="5" t="s">
        <v>407</v>
      </c>
      <c r="B62" s="5" t="s">
        <v>408</v>
      </c>
      <c r="C62" s="5" t="s">
        <v>697</v>
      </c>
      <c r="D62" s="5" t="s">
        <v>698</v>
      </c>
      <c r="E62" s="5" t="s">
        <v>232</v>
      </c>
      <c r="F62" s="5" t="s">
        <v>11</v>
      </c>
      <c r="G62" s="5" t="s">
        <v>15</v>
      </c>
      <c r="H62" s="5" t="s">
        <v>409</v>
      </c>
      <c r="I62" s="5" t="s">
        <v>591</v>
      </c>
      <c r="J62" s="5" t="s">
        <v>547</v>
      </c>
      <c r="K62" s="6">
        <v>0.93</v>
      </c>
    </row>
    <row r="63" spans="1:11">
      <c r="A63" s="5" t="s">
        <v>410</v>
      </c>
      <c r="B63" s="5" t="s">
        <v>411</v>
      </c>
      <c r="C63" s="5" t="s">
        <v>699</v>
      </c>
      <c r="D63" s="5" t="s">
        <v>700</v>
      </c>
      <c r="E63" s="5" t="s">
        <v>236</v>
      </c>
      <c r="F63" s="5" t="s">
        <v>18</v>
      </c>
      <c r="G63" s="5" t="s">
        <v>12</v>
      </c>
      <c r="H63" s="5" t="s">
        <v>412</v>
      </c>
      <c r="I63" s="5" t="s">
        <v>701</v>
      </c>
      <c r="J63" s="5" t="s">
        <v>519</v>
      </c>
      <c r="K63" s="6">
        <v>0.78</v>
      </c>
    </row>
    <row r="64" spans="1:11">
      <c r="A64" s="5" t="s">
        <v>413</v>
      </c>
      <c r="B64" s="5" t="s">
        <v>414</v>
      </c>
      <c r="C64" s="5" t="s">
        <v>702</v>
      </c>
      <c r="D64" s="5" t="s">
        <v>703</v>
      </c>
      <c r="E64" s="5" t="s">
        <v>247</v>
      </c>
      <c r="F64" s="5" t="s">
        <v>21</v>
      </c>
      <c r="G64" s="5" t="s">
        <v>15</v>
      </c>
      <c r="H64" s="5" t="s">
        <v>269</v>
      </c>
      <c r="I64" s="5" t="s">
        <v>542</v>
      </c>
      <c r="J64" s="5" t="s">
        <v>543</v>
      </c>
      <c r="K64" s="6">
        <v>0.96</v>
      </c>
    </row>
    <row r="65" spans="1:11">
      <c r="A65" s="5" t="s">
        <v>415</v>
      </c>
      <c r="B65" s="5" t="s">
        <v>416</v>
      </c>
      <c r="C65" s="5" t="s">
        <v>704</v>
      </c>
      <c r="D65" s="5" t="s">
        <v>705</v>
      </c>
      <c r="E65" s="5" t="s">
        <v>228</v>
      </c>
      <c r="F65" s="5" t="s">
        <v>11</v>
      </c>
      <c r="G65" s="5" t="s">
        <v>12</v>
      </c>
      <c r="H65" s="5" t="s">
        <v>417</v>
      </c>
      <c r="I65" s="5" t="s">
        <v>518</v>
      </c>
      <c r="J65" s="5" t="s">
        <v>633</v>
      </c>
      <c r="K65" s="6">
        <v>0.84</v>
      </c>
    </row>
    <row r="66" spans="1:11">
      <c r="A66" s="5" t="s">
        <v>418</v>
      </c>
      <c r="B66" s="5" t="s">
        <v>419</v>
      </c>
      <c r="C66" s="5" t="s">
        <v>706</v>
      </c>
      <c r="D66" s="5" t="s">
        <v>707</v>
      </c>
      <c r="E66" s="5" t="s">
        <v>240</v>
      </c>
      <c r="F66" s="5" t="s">
        <v>18</v>
      </c>
      <c r="G66" s="5" t="s">
        <v>15</v>
      </c>
      <c r="H66" s="5" t="s">
        <v>420</v>
      </c>
      <c r="I66" s="5" t="s">
        <v>498</v>
      </c>
      <c r="J66" s="5" t="s">
        <v>523</v>
      </c>
      <c r="K66" s="6">
        <v>0.95</v>
      </c>
    </row>
    <row r="67" spans="1:11">
      <c r="A67" s="5" t="s">
        <v>421</v>
      </c>
      <c r="B67" s="5" t="s">
        <v>422</v>
      </c>
      <c r="C67" s="5" t="s">
        <v>708</v>
      </c>
      <c r="D67" s="5" t="s">
        <v>709</v>
      </c>
      <c r="E67" s="5" t="s">
        <v>251</v>
      </c>
      <c r="F67" s="5" t="s">
        <v>21</v>
      </c>
      <c r="G67" s="5" t="s">
        <v>12</v>
      </c>
      <c r="H67" s="5" t="s">
        <v>423</v>
      </c>
      <c r="I67" s="5" t="s">
        <v>710</v>
      </c>
      <c r="J67" s="5" t="s">
        <v>711</v>
      </c>
      <c r="K67" s="6">
        <v>0.7</v>
      </c>
    </row>
    <row r="68" spans="1:11">
      <c r="A68" s="5" t="s">
        <v>424</v>
      </c>
      <c r="B68" s="5" t="s">
        <v>425</v>
      </c>
      <c r="C68" s="5" t="s">
        <v>712</v>
      </c>
      <c r="D68" s="5" t="s">
        <v>713</v>
      </c>
      <c r="E68" s="5" t="s">
        <v>232</v>
      </c>
      <c r="F68" s="5" t="s">
        <v>11</v>
      </c>
      <c r="G68" s="5" t="s">
        <v>15</v>
      </c>
      <c r="H68" s="5" t="s">
        <v>426</v>
      </c>
      <c r="I68" s="5" t="s">
        <v>606</v>
      </c>
      <c r="J68" s="5" t="s">
        <v>495</v>
      </c>
      <c r="K68" s="6">
        <v>0.9</v>
      </c>
    </row>
    <row r="69" spans="1:11">
      <c r="A69" s="5" t="s">
        <v>427</v>
      </c>
      <c r="B69" s="5" t="s">
        <v>428</v>
      </c>
      <c r="C69" s="5" t="s">
        <v>714</v>
      </c>
      <c r="D69" s="5" t="s">
        <v>715</v>
      </c>
      <c r="E69" s="5" t="s">
        <v>236</v>
      </c>
      <c r="F69" s="5" t="s">
        <v>18</v>
      </c>
      <c r="G69" s="5" t="s">
        <v>12</v>
      </c>
      <c r="H69" s="5" t="s">
        <v>429</v>
      </c>
      <c r="I69" s="5" t="s">
        <v>538</v>
      </c>
      <c r="J69" s="5" t="s">
        <v>559</v>
      </c>
      <c r="K69" s="6">
        <v>0.81</v>
      </c>
    </row>
    <row r="70" spans="1:11">
      <c r="A70" s="5" t="s">
        <v>430</v>
      </c>
      <c r="B70" s="5" t="s">
        <v>431</v>
      </c>
      <c r="C70" s="5" t="s">
        <v>716</v>
      </c>
      <c r="D70" s="5" t="s">
        <v>717</v>
      </c>
      <c r="E70" s="5" t="s">
        <v>247</v>
      </c>
      <c r="F70" s="5" t="s">
        <v>21</v>
      </c>
      <c r="G70" s="5" t="s">
        <v>15</v>
      </c>
      <c r="H70" s="5" t="s">
        <v>432</v>
      </c>
      <c r="I70" s="5" t="s">
        <v>584</v>
      </c>
      <c r="J70" s="5" t="s">
        <v>555</v>
      </c>
      <c r="K70" s="6">
        <v>0.98</v>
      </c>
    </row>
    <row r="71" spans="1:11">
      <c r="A71" s="5" t="s">
        <v>433</v>
      </c>
      <c r="B71" s="5" t="s">
        <v>434</v>
      </c>
      <c r="C71" s="5" t="s">
        <v>718</v>
      </c>
      <c r="D71" s="5" t="s">
        <v>719</v>
      </c>
      <c r="E71" s="5" t="s">
        <v>228</v>
      </c>
      <c r="F71" s="5" t="s">
        <v>11</v>
      </c>
      <c r="G71" s="5" t="s">
        <v>12</v>
      </c>
      <c r="H71" s="5" t="s">
        <v>435</v>
      </c>
      <c r="I71" s="5" t="s">
        <v>573</v>
      </c>
      <c r="J71" s="5" t="s">
        <v>720</v>
      </c>
      <c r="K71" s="6">
        <v>0.87</v>
      </c>
    </row>
    <row r="72" spans="1:11">
      <c r="A72" s="5" t="s">
        <v>436</v>
      </c>
      <c r="B72" s="5" t="s">
        <v>437</v>
      </c>
      <c r="C72" s="5" t="s">
        <v>721</v>
      </c>
      <c r="D72" s="5" t="s">
        <v>722</v>
      </c>
      <c r="E72" s="5" t="s">
        <v>240</v>
      </c>
      <c r="F72" s="5" t="s">
        <v>18</v>
      </c>
      <c r="G72" s="5" t="s">
        <v>15</v>
      </c>
      <c r="H72" s="5" t="s">
        <v>349</v>
      </c>
      <c r="I72" s="5" t="s">
        <v>534</v>
      </c>
      <c r="J72" s="5" t="s">
        <v>507</v>
      </c>
      <c r="K72" s="6">
        <v>0.94</v>
      </c>
    </row>
    <row r="73" spans="1:11">
      <c r="A73" s="5" t="s">
        <v>438</v>
      </c>
      <c r="B73" s="5" t="s">
        <v>439</v>
      </c>
      <c r="C73" s="5" t="s">
        <v>723</v>
      </c>
      <c r="D73" s="5" t="s">
        <v>724</v>
      </c>
      <c r="E73" s="5" t="s">
        <v>251</v>
      </c>
      <c r="F73" s="5" t="s">
        <v>21</v>
      </c>
      <c r="G73" s="5" t="s">
        <v>12</v>
      </c>
      <c r="H73" s="5" t="s">
        <v>440</v>
      </c>
      <c r="I73" s="5" t="s">
        <v>725</v>
      </c>
      <c r="J73" s="5" t="s">
        <v>726</v>
      </c>
      <c r="K73" s="6">
        <v>0.76</v>
      </c>
    </row>
    <row r="74" spans="1:11">
      <c r="A74" s="5" t="s">
        <v>441</v>
      </c>
      <c r="B74" s="5" t="s">
        <v>442</v>
      </c>
      <c r="C74" s="5" t="s">
        <v>727</v>
      </c>
      <c r="D74" s="5" t="s">
        <v>728</v>
      </c>
      <c r="E74" s="5" t="s">
        <v>232</v>
      </c>
      <c r="F74" s="5" t="s">
        <v>11</v>
      </c>
      <c r="G74" s="5" t="s">
        <v>15</v>
      </c>
      <c r="H74" s="5" t="s">
        <v>443</v>
      </c>
      <c r="I74" s="5" t="s">
        <v>506</v>
      </c>
      <c r="J74" s="5" t="s">
        <v>622</v>
      </c>
      <c r="K74" s="6">
        <v>0.97</v>
      </c>
    </row>
    <row r="75" spans="1:11">
      <c r="A75" s="5" t="s">
        <v>444</v>
      </c>
      <c r="B75" s="5" t="s">
        <v>445</v>
      </c>
      <c r="C75" s="5" t="s">
        <v>729</v>
      </c>
      <c r="D75" s="5" t="s">
        <v>730</v>
      </c>
      <c r="E75" s="5" t="s">
        <v>236</v>
      </c>
      <c r="F75" s="5" t="s">
        <v>18</v>
      </c>
      <c r="G75" s="5" t="s">
        <v>12</v>
      </c>
      <c r="H75" s="5" t="s">
        <v>446</v>
      </c>
      <c r="I75" s="5" t="s">
        <v>602</v>
      </c>
      <c r="J75" s="5" t="s">
        <v>503</v>
      </c>
      <c r="K75" s="6">
        <v>0.85</v>
      </c>
    </row>
    <row r="76" spans="1:11">
      <c r="A76" s="5" t="s">
        <v>447</v>
      </c>
      <c r="B76" s="5" t="s">
        <v>448</v>
      </c>
      <c r="C76" s="5" t="s">
        <v>731</v>
      </c>
      <c r="D76" s="5" t="s">
        <v>732</v>
      </c>
      <c r="E76" s="5" t="s">
        <v>247</v>
      </c>
      <c r="F76" s="5" t="s">
        <v>21</v>
      </c>
      <c r="G76" s="5" t="s">
        <v>15</v>
      </c>
      <c r="H76" s="5" t="s">
        <v>449</v>
      </c>
      <c r="I76" s="5" t="s">
        <v>546</v>
      </c>
      <c r="J76" s="5" t="s">
        <v>515</v>
      </c>
      <c r="K76" s="6">
        <v>0.92</v>
      </c>
    </row>
    <row r="77" spans="1:11">
      <c r="A77" s="5" t="s">
        <v>450</v>
      </c>
      <c r="B77" s="5" t="s">
        <v>451</v>
      </c>
      <c r="C77" s="5" t="s">
        <v>733</v>
      </c>
      <c r="D77" s="5" t="s">
        <v>734</v>
      </c>
      <c r="E77" s="5" t="s">
        <v>228</v>
      </c>
      <c r="F77" s="5" t="s">
        <v>11</v>
      </c>
      <c r="G77" s="5" t="s">
        <v>12</v>
      </c>
      <c r="H77" s="5" t="s">
        <v>452</v>
      </c>
      <c r="I77" s="5" t="s">
        <v>735</v>
      </c>
      <c r="J77" s="5" t="s">
        <v>736</v>
      </c>
      <c r="K77" s="6">
        <v>0.64</v>
      </c>
    </row>
    <row r="78" spans="1:11">
      <c r="A78" s="5" t="s">
        <v>453</v>
      </c>
      <c r="B78" s="5" t="s">
        <v>454</v>
      </c>
      <c r="C78" s="5" t="s">
        <v>737</v>
      </c>
      <c r="D78" s="5" t="s">
        <v>655</v>
      </c>
      <c r="E78" s="5" t="s">
        <v>240</v>
      </c>
      <c r="F78" s="5" t="s">
        <v>18</v>
      </c>
      <c r="G78" s="5" t="s">
        <v>15</v>
      </c>
      <c r="H78" s="5" t="s">
        <v>296</v>
      </c>
      <c r="I78" s="5" t="s">
        <v>577</v>
      </c>
      <c r="J78" s="5" t="s">
        <v>543</v>
      </c>
      <c r="K78" s="6">
        <v>0.96</v>
      </c>
    </row>
    <row r="79" spans="1:11">
      <c r="A79" s="5" t="s">
        <v>455</v>
      </c>
      <c r="B79" s="5" t="s">
        <v>456</v>
      </c>
      <c r="C79" s="5" t="s">
        <v>738</v>
      </c>
      <c r="D79" s="5" t="s">
        <v>635</v>
      </c>
      <c r="E79" s="5" t="s">
        <v>251</v>
      </c>
      <c r="F79" s="5" t="s">
        <v>21</v>
      </c>
      <c r="G79" s="5" t="s">
        <v>12</v>
      </c>
      <c r="H79" s="5" t="s">
        <v>457</v>
      </c>
      <c r="I79" s="5" t="s">
        <v>594</v>
      </c>
      <c r="J79" s="5" t="s">
        <v>574</v>
      </c>
      <c r="K79" s="6">
        <v>0.82</v>
      </c>
    </row>
    <row r="80" spans="1:11">
      <c r="A80" s="5" t="s">
        <v>458</v>
      </c>
      <c r="B80" s="5" t="s">
        <v>459</v>
      </c>
      <c r="C80" s="5" t="s">
        <v>739</v>
      </c>
      <c r="D80" s="5" t="s">
        <v>609</v>
      </c>
      <c r="E80" s="5" t="s">
        <v>232</v>
      </c>
      <c r="F80" s="5" t="s">
        <v>11</v>
      </c>
      <c r="G80" s="5" t="s">
        <v>15</v>
      </c>
      <c r="H80" s="5" t="s">
        <v>460</v>
      </c>
      <c r="I80" s="5" t="s">
        <v>621</v>
      </c>
      <c r="J80" s="5" t="s">
        <v>740</v>
      </c>
      <c r="K80" s="6">
        <v>0.99</v>
      </c>
    </row>
    <row r="81" spans="1:11">
      <c r="A81" s="5" t="s">
        <v>461</v>
      </c>
      <c r="B81" s="5" t="s">
        <v>462</v>
      </c>
      <c r="C81" s="5" t="s">
        <v>741</v>
      </c>
      <c r="D81" s="5" t="s">
        <v>742</v>
      </c>
      <c r="E81" s="5" t="s">
        <v>236</v>
      </c>
      <c r="F81" s="5" t="s">
        <v>18</v>
      </c>
      <c r="G81" s="5" t="s">
        <v>12</v>
      </c>
      <c r="H81" s="5" t="s">
        <v>463</v>
      </c>
      <c r="I81" s="5" t="s">
        <v>610</v>
      </c>
      <c r="J81" s="5" t="s">
        <v>511</v>
      </c>
      <c r="K81" s="6">
        <v>0.73</v>
      </c>
    </row>
    <row r="82" spans="1:11">
      <c r="A82" s="5" t="s">
        <v>464</v>
      </c>
      <c r="B82" s="5" t="s">
        <v>465</v>
      </c>
      <c r="C82" s="5" t="s">
        <v>743</v>
      </c>
      <c r="D82" s="5" t="s">
        <v>545</v>
      </c>
      <c r="E82" s="5" t="s">
        <v>247</v>
      </c>
      <c r="F82" s="5" t="s">
        <v>21</v>
      </c>
      <c r="G82" s="5" t="s">
        <v>15</v>
      </c>
      <c r="H82" s="5" t="s">
        <v>466</v>
      </c>
      <c r="I82" s="5" t="s">
        <v>629</v>
      </c>
      <c r="J82" s="5" t="s">
        <v>607</v>
      </c>
      <c r="K82" s="6">
        <v>0.91</v>
      </c>
    </row>
    <row r="83" spans="1:11">
      <c r="A83" s="5" t="s">
        <v>467</v>
      </c>
      <c r="B83" s="5" t="s">
        <v>10</v>
      </c>
      <c r="C83" s="5" t="s">
        <v>492</v>
      </c>
      <c r="D83" s="5" t="s">
        <v>493</v>
      </c>
      <c r="E83" s="5" t="s">
        <v>228</v>
      </c>
      <c r="F83" s="5" t="s">
        <v>11</v>
      </c>
      <c r="G83" s="5" t="s">
        <v>12</v>
      </c>
      <c r="H83" s="5" t="s">
        <v>229</v>
      </c>
      <c r="I83" s="5" t="s">
        <v>494</v>
      </c>
      <c r="J83" s="5" t="s">
        <v>495</v>
      </c>
      <c r="K83" s="6">
        <v>0.92</v>
      </c>
    </row>
    <row r="84" spans="1:11">
      <c r="A84" s="5" t="s">
        <v>468</v>
      </c>
      <c r="B84" s="5" t="s">
        <v>231</v>
      </c>
      <c r="C84" s="5" t="s">
        <v>496</v>
      </c>
      <c r="D84" s="5" t="s">
        <v>497</v>
      </c>
      <c r="E84" s="5" t="s">
        <v>232</v>
      </c>
      <c r="F84" s="5" t="s">
        <v>11</v>
      </c>
      <c r="G84" s="5" t="s">
        <v>15</v>
      </c>
      <c r="H84" s="5" t="s">
        <v>233</v>
      </c>
      <c r="I84" s="5" t="s">
        <v>498</v>
      </c>
      <c r="J84" s="5" t="s">
        <v>499</v>
      </c>
      <c r="K84" s="6">
        <v>0.96</v>
      </c>
    </row>
    <row r="85" spans="1:11">
      <c r="A85" s="5" t="s">
        <v>469</v>
      </c>
      <c r="B85" s="5" t="s">
        <v>235</v>
      </c>
      <c r="C85" s="5" t="s">
        <v>500</v>
      </c>
      <c r="D85" s="5" t="s">
        <v>501</v>
      </c>
      <c r="E85" s="5" t="s">
        <v>236</v>
      </c>
      <c r="F85" s="5" t="s">
        <v>18</v>
      </c>
      <c r="G85" s="5" t="s">
        <v>12</v>
      </c>
      <c r="H85" s="5" t="s">
        <v>237</v>
      </c>
      <c r="I85" s="5" t="s">
        <v>502</v>
      </c>
      <c r="J85" s="5" t="s">
        <v>503</v>
      </c>
      <c r="K85" s="6">
        <v>0.81</v>
      </c>
    </row>
    <row r="86" spans="1:11">
      <c r="A86" s="5" t="s">
        <v>470</v>
      </c>
      <c r="B86" s="5" t="s">
        <v>239</v>
      </c>
      <c r="C86" s="5" t="s">
        <v>504</v>
      </c>
      <c r="D86" s="5" t="s">
        <v>505</v>
      </c>
      <c r="E86" s="5" t="s">
        <v>240</v>
      </c>
      <c r="F86" s="5" t="s">
        <v>18</v>
      </c>
      <c r="G86" s="5" t="s">
        <v>15</v>
      </c>
      <c r="H86" s="5" t="s">
        <v>241</v>
      </c>
      <c r="I86" s="5" t="s">
        <v>506</v>
      </c>
      <c r="J86" s="5" t="s">
        <v>507</v>
      </c>
      <c r="K86" s="6">
        <v>0.98</v>
      </c>
    </row>
    <row r="87" spans="1:11">
      <c r="A87" s="5" t="s">
        <v>471</v>
      </c>
      <c r="B87" s="5" t="s">
        <v>472</v>
      </c>
      <c r="C87" s="5" t="s">
        <v>492</v>
      </c>
      <c r="D87" s="5" t="s">
        <v>493</v>
      </c>
      <c r="E87" s="5" t="s">
        <v>228</v>
      </c>
      <c r="F87" s="5" t="s">
        <v>11</v>
      </c>
      <c r="G87" s="5" t="s">
        <v>12</v>
      </c>
      <c r="H87" s="5" t="s">
        <v>229</v>
      </c>
      <c r="I87" s="5" t="s">
        <v>494</v>
      </c>
      <c r="J87" s="5" t="s">
        <v>495</v>
      </c>
      <c r="K87" s="6">
        <v>0.92</v>
      </c>
    </row>
    <row r="88" spans="1:11">
      <c r="A88" s="5" t="s">
        <v>473</v>
      </c>
      <c r="B88" s="5" t="s">
        <v>474</v>
      </c>
      <c r="C88" s="5" t="s">
        <v>744</v>
      </c>
      <c r="D88" s="5" t="s">
        <v>745</v>
      </c>
      <c r="E88" s="5" t="s">
        <v>236</v>
      </c>
      <c r="F88" s="5" t="s">
        <v>18</v>
      </c>
      <c r="G88" s="5" t="s">
        <v>12</v>
      </c>
      <c r="H88" s="5" t="s">
        <v>237</v>
      </c>
      <c r="I88" s="5" t="s">
        <v>502</v>
      </c>
      <c r="J88" s="5" t="s">
        <v>503</v>
      </c>
      <c r="K88" s="6">
        <v>0.81</v>
      </c>
    </row>
    <row r="89" spans="1:11">
      <c r="A89" s="5" t="s">
        <v>475</v>
      </c>
      <c r="B89" s="5" t="s">
        <v>231</v>
      </c>
      <c r="C89" s="5" t="s">
        <v>496</v>
      </c>
      <c r="D89" s="5" t="s">
        <v>497</v>
      </c>
      <c r="E89" s="5" t="s">
        <v>232</v>
      </c>
      <c r="F89" s="5" t="s">
        <v>11</v>
      </c>
      <c r="G89" s="5" t="s">
        <v>15</v>
      </c>
      <c r="H89" s="5" t="s">
        <v>233</v>
      </c>
      <c r="I89" s="5" t="s">
        <v>498</v>
      </c>
      <c r="J89" s="5" t="s">
        <v>499</v>
      </c>
      <c r="K89" s="6">
        <v>0.96</v>
      </c>
    </row>
    <row r="90" spans="1:11">
      <c r="A90" s="5" t="s">
        <v>476</v>
      </c>
      <c r="B90" s="5" t="s">
        <v>239</v>
      </c>
      <c r="C90" s="5" t="s">
        <v>504</v>
      </c>
      <c r="D90" s="5" t="s">
        <v>505</v>
      </c>
      <c r="E90" s="5" t="s">
        <v>240</v>
      </c>
      <c r="F90" s="5" t="s">
        <v>18</v>
      </c>
      <c r="G90" s="5" t="s">
        <v>15</v>
      </c>
      <c r="H90" s="5" t="s">
        <v>241</v>
      </c>
      <c r="I90" s="5" t="s">
        <v>506</v>
      </c>
      <c r="J90" s="5" t="s">
        <v>507</v>
      </c>
      <c r="K90" s="6">
        <v>0.98</v>
      </c>
    </row>
    <row r="91" spans="1:11">
      <c r="A91" s="5" t="s">
        <v>477</v>
      </c>
      <c r="B91" s="5" t="s">
        <v>262</v>
      </c>
      <c r="C91" s="5" t="s">
        <v>532</v>
      </c>
      <c r="D91" s="5" t="s">
        <v>533</v>
      </c>
      <c r="E91" s="5" t="s">
        <v>251</v>
      </c>
      <c r="F91" s="5" t="s">
        <v>21</v>
      </c>
      <c r="G91" s="5" t="s">
        <v>12</v>
      </c>
      <c r="H91" s="5" t="s">
        <v>263</v>
      </c>
      <c r="I91" s="5" t="s">
        <v>534</v>
      </c>
      <c r="J91" s="5" t="s">
        <v>535</v>
      </c>
      <c r="K91" s="6">
        <v>0.93</v>
      </c>
    </row>
    <row r="92" spans="1:11">
      <c r="A92" s="5" t="s">
        <v>478</v>
      </c>
      <c r="B92" s="5" t="s">
        <v>33</v>
      </c>
      <c r="C92" s="5" t="s">
        <v>528</v>
      </c>
      <c r="D92" s="5" t="s">
        <v>529</v>
      </c>
      <c r="E92" s="5" t="s">
        <v>240</v>
      </c>
      <c r="F92" s="5" t="s">
        <v>18</v>
      </c>
      <c r="G92" s="5" t="s">
        <v>15</v>
      </c>
      <c r="H92" s="5" t="s">
        <v>260</v>
      </c>
      <c r="I92" s="5" t="s">
        <v>530</v>
      </c>
      <c r="J92" s="5" t="s">
        <v>531</v>
      </c>
      <c r="K92" s="6">
        <v>0.88</v>
      </c>
    </row>
    <row r="93" spans="1:11">
      <c r="A93" s="5" t="s">
        <v>479</v>
      </c>
      <c r="B93" s="5" t="s">
        <v>231</v>
      </c>
      <c r="C93" s="5" t="s">
        <v>496</v>
      </c>
      <c r="D93" s="5" t="s">
        <v>497</v>
      </c>
      <c r="E93" s="5" t="s">
        <v>232</v>
      </c>
      <c r="F93" s="5" t="s">
        <v>11</v>
      </c>
      <c r="G93" s="5" t="s">
        <v>15</v>
      </c>
      <c r="H93" s="5" t="s">
        <v>233</v>
      </c>
      <c r="I93" s="5" t="s">
        <v>498</v>
      </c>
      <c r="J93" s="5" t="s">
        <v>499</v>
      </c>
      <c r="K93" s="6">
        <v>0.96</v>
      </c>
    </row>
    <row r="94" spans="1:11">
      <c r="A94" s="5" t="s">
        <v>480</v>
      </c>
      <c r="B94" s="5" t="s">
        <v>235</v>
      </c>
      <c r="C94" s="5" t="s">
        <v>500</v>
      </c>
      <c r="D94" s="5" t="s">
        <v>501</v>
      </c>
      <c r="E94" s="5" t="s">
        <v>236</v>
      </c>
      <c r="F94" s="5" t="s">
        <v>18</v>
      </c>
      <c r="G94" s="5" t="s">
        <v>12</v>
      </c>
      <c r="H94" s="5" t="s">
        <v>237</v>
      </c>
      <c r="I94" s="5" t="s">
        <v>502</v>
      </c>
      <c r="J94" s="5" t="s">
        <v>503</v>
      </c>
      <c r="K94" s="6">
        <v>0.81</v>
      </c>
    </row>
    <row r="95" spans="1:11">
      <c r="A95" s="5" t="s">
        <v>481</v>
      </c>
      <c r="B95" s="5" t="s">
        <v>246</v>
      </c>
      <c r="C95" s="5" t="s">
        <v>512</v>
      </c>
      <c r="D95" s="5" t="s">
        <v>513</v>
      </c>
      <c r="E95" s="5" t="s">
        <v>247</v>
      </c>
      <c r="F95" s="5" t="s">
        <v>21</v>
      </c>
      <c r="G95" s="5" t="s">
        <v>15</v>
      </c>
      <c r="H95" s="5" t="s">
        <v>248</v>
      </c>
      <c r="I95" s="5" t="s">
        <v>514</v>
      </c>
      <c r="J95" s="5" t="s">
        <v>515</v>
      </c>
      <c r="K95" s="6">
        <v>0.9</v>
      </c>
    </row>
    <row r="96" spans="1:11" ht="16.5" customHeight="1">
      <c r="A96" s="5" t="s">
        <v>484</v>
      </c>
      <c r="B96" s="5" t="s">
        <v>250</v>
      </c>
      <c r="C96" s="5" t="s">
        <v>516</v>
      </c>
      <c r="D96" s="5" t="s">
        <v>517</v>
      </c>
      <c r="E96" s="5" t="s">
        <v>251</v>
      </c>
      <c r="F96" s="5" t="s">
        <v>21</v>
      </c>
      <c r="G96" s="5" t="s">
        <v>12</v>
      </c>
      <c r="H96" s="5" t="s">
        <v>252</v>
      </c>
      <c r="I96" s="5" t="s">
        <v>518</v>
      </c>
      <c r="J96" s="5" t="s">
        <v>519</v>
      </c>
      <c r="K96" s="6">
        <v>0.85</v>
      </c>
    </row>
    <row r="97" spans="1:11">
      <c r="A97" s="5" t="s">
        <v>485</v>
      </c>
      <c r="B97" s="5" t="s">
        <v>254</v>
      </c>
      <c r="C97" s="5" t="s">
        <v>520</v>
      </c>
      <c r="D97" s="5" t="s">
        <v>521</v>
      </c>
      <c r="E97" s="5" t="s">
        <v>232</v>
      </c>
      <c r="F97" s="5" t="s">
        <v>11</v>
      </c>
      <c r="G97" s="5" t="s">
        <v>15</v>
      </c>
      <c r="H97" s="5" t="s">
        <v>255</v>
      </c>
      <c r="I97" s="5" t="s">
        <v>522</v>
      </c>
      <c r="J97" s="5" t="s">
        <v>523</v>
      </c>
      <c r="K97" s="6">
        <v>0.99</v>
      </c>
    </row>
    <row r="98" spans="1:11">
      <c r="A98" s="5" t="s">
        <v>486</v>
      </c>
      <c r="B98" s="5" t="s">
        <v>243</v>
      </c>
      <c r="C98" s="5" t="s">
        <v>508</v>
      </c>
      <c r="D98" s="5" t="s">
        <v>509</v>
      </c>
      <c r="E98" s="5" t="s">
        <v>228</v>
      </c>
      <c r="F98" s="5" t="s">
        <v>11</v>
      </c>
      <c r="G98" s="5" t="s">
        <v>12</v>
      </c>
      <c r="H98" s="5" t="s">
        <v>244</v>
      </c>
      <c r="I98" s="5" t="s">
        <v>510</v>
      </c>
      <c r="J98" s="5" t="s">
        <v>511</v>
      </c>
      <c r="K98" s="6">
        <v>0.74</v>
      </c>
    </row>
    <row r="99" spans="1:11">
      <c r="A99" s="5" t="s">
        <v>487</v>
      </c>
      <c r="B99" s="5" t="s">
        <v>246</v>
      </c>
      <c r="C99" s="5" t="s">
        <v>512</v>
      </c>
      <c r="D99" s="5" t="s">
        <v>513</v>
      </c>
      <c r="E99" s="5" t="s">
        <v>247</v>
      </c>
      <c r="F99" s="5" t="s">
        <v>21</v>
      </c>
      <c r="G99" s="5" t="s">
        <v>15</v>
      </c>
      <c r="H99" s="5" t="s">
        <v>248</v>
      </c>
      <c r="I99" s="5" t="s">
        <v>514</v>
      </c>
      <c r="J99" s="5" t="s">
        <v>515</v>
      </c>
      <c r="K99" s="6">
        <v>0.9</v>
      </c>
    </row>
    <row r="100" spans="1:11">
      <c r="A100" s="5" t="s">
        <v>488</v>
      </c>
      <c r="B100" s="5" t="s">
        <v>10</v>
      </c>
      <c r="C100" s="5" t="s">
        <v>492</v>
      </c>
      <c r="D100" s="5" t="s">
        <v>493</v>
      </c>
      <c r="E100" s="5" t="s">
        <v>228</v>
      </c>
      <c r="F100" s="5" t="s">
        <v>11</v>
      </c>
      <c r="G100" s="5" t="s">
        <v>12</v>
      </c>
      <c r="H100" s="5" t="s">
        <v>229</v>
      </c>
      <c r="I100" s="5" t="s">
        <v>494</v>
      </c>
      <c r="J100" s="5" t="s">
        <v>495</v>
      </c>
      <c r="K100" s="6">
        <v>0.92</v>
      </c>
    </row>
    <row r="101" spans="1:11">
      <c r="A101" s="5" t="s">
        <v>489</v>
      </c>
      <c r="B101" s="5" t="s">
        <v>268</v>
      </c>
      <c r="C101" s="5" t="s">
        <v>540</v>
      </c>
      <c r="D101" s="5" t="s">
        <v>541</v>
      </c>
      <c r="E101" s="5" t="s">
        <v>236</v>
      </c>
      <c r="F101" s="5" t="s">
        <v>18</v>
      </c>
      <c r="G101" s="5" t="s">
        <v>12</v>
      </c>
      <c r="H101" s="5" t="s">
        <v>269</v>
      </c>
      <c r="I101" s="5" t="s">
        <v>542</v>
      </c>
      <c r="J101" s="5" t="s">
        <v>543</v>
      </c>
      <c r="K101" s="6">
        <v>0.97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BB5EC-9DD8-43D3-859D-3A686ECAACE0}">
  <dimension ref="A2:E101"/>
  <sheetViews>
    <sheetView tabSelected="1" workbookViewId="0">
      <selection activeCell="G5" sqref="G5"/>
    </sheetView>
  </sheetViews>
  <sheetFormatPr defaultRowHeight="15"/>
  <cols>
    <col min="1" max="5" width="23.5703125" customWidth="1"/>
  </cols>
  <sheetData>
    <row r="2" spans="1:5" ht="26.25" customHeight="1">
      <c r="A2" s="1" t="s">
        <v>0</v>
      </c>
      <c r="B2" s="1" t="s">
        <v>224</v>
      </c>
      <c r="C2" s="1" t="s">
        <v>225</v>
      </c>
      <c r="D2" s="1" t="s">
        <v>226</v>
      </c>
      <c r="E2" s="1" t="s">
        <v>8</v>
      </c>
    </row>
    <row r="3" spans="1:5">
      <c r="A3" t="s">
        <v>227</v>
      </c>
      <c r="B3" t="s">
        <v>10</v>
      </c>
      <c r="C3" t="s">
        <v>228</v>
      </c>
      <c r="D3" t="s">
        <v>229</v>
      </c>
      <c r="E3" s="19">
        <v>0.92</v>
      </c>
    </row>
    <row r="4" spans="1:5">
      <c r="A4" t="s">
        <v>230</v>
      </c>
      <c r="B4" t="s">
        <v>231</v>
      </c>
      <c r="C4" t="s">
        <v>232</v>
      </c>
      <c r="D4" t="s">
        <v>233</v>
      </c>
      <c r="E4" s="19">
        <v>0.96</v>
      </c>
    </row>
    <row r="5" spans="1:5">
      <c r="A5" t="s">
        <v>234</v>
      </c>
      <c r="B5" t="s">
        <v>235</v>
      </c>
      <c r="C5" t="s">
        <v>236</v>
      </c>
      <c r="D5" t="s">
        <v>237</v>
      </c>
      <c r="E5" s="19">
        <v>0.81</v>
      </c>
    </row>
    <row r="6" spans="1:5">
      <c r="A6" t="s">
        <v>238</v>
      </c>
      <c r="B6" t="s">
        <v>239</v>
      </c>
      <c r="C6" t="s">
        <v>240</v>
      </c>
      <c r="D6" t="s">
        <v>241</v>
      </c>
      <c r="E6" s="19">
        <v>0.98</v>
      </c>
    </row>
    <row r="7" spans="1:5">
      <c r="A7" t="s">
        <v>242</v>
      </c>
      <c r="B7" t="s">
        <v>243</v>
      </c>
      <c r="C7" t="s">
        <v>228</v>
      </c>
      <c r="D7" t="s">
        <v>244</v>
      </c>
      <c r="E7" s="19">
        <v>0.74</v>
      </c>
    </row>
    <row r="8" spans="1:5">
      <c r="A8" t="s">
        <v>245</v>
      </c>
      <c r="B8" t="s">
        <v>246</v>
      </c>
      <c r="C8" t="s">
        <v>247</v>
      </c>
      <c r="D8" t="s">
        <v>248</v>
      </c>
      <c r="E8" s="19">
        <v>0.9</v>
      </c>
    </row>
    <row r="9" spans="1:5">
      <c r="A9" t="s">
        <v>249</v>
      </c>
      <c r="B9" t="s">
        <v>250</v>
      </c>
      <c r="C9" t="s">
        <v>251</v>
      </c>
      <c r="D9" t="s">
        <v>252</v>
      </c>
      <c r="E9" s="19">
        <v>0.85</v>
      </c>
    </row>
    <row r="10" spans="1:5">
      <c r="A10" t="s">
        <v>253</v>
      </c>
      <c r="B10" t="s">
        <v>254</v>
      </c>
      <c r="C10" t="s">
        <v>232</v>
      </c>
      <c r="D10" t="s">
        <v>255</v>
      </c>
      <c r="E10" s="19">
        <v>0.99</v>
      </c>
    </row>
    <row r="11" spans="1:5">
      <c r="A11" t="s">
        <v>256</v>
      </c>
      <c r="B11" t="s">
        <v>257</v>
      </c>
      <c r="C11" t="s">
        <v>236</v>
      </c>
      <c r="D11" t="s">
        <v>258</v>
      </c>
      <c r="E11" s="19">
        <v>0.68</v>
      </c>
    </row>
    <row r="12" spans="1:5">
      <c r="A12" t="s">
        <v>259</v>
      </c>
      <c r="B12" t="s">
        <v>33</v>
      </c>
      <c r="C12" t="s">
        <v>240</v>
      </c>
      <c r="D12" t="s">
        <v>260</v>
      </c>
      <c r="E12" s="19">
        <v>0.88</v>
      </c>
    </row>
    <row r="13" spans="1:5">
      <c r="A13" t="s">
        <v>261</v>
      </c>
      <c r="B13" t="s">
        <v>262</v>
      </c>
      <c r="C13" t="s">
        <v>251</v>
      </c>
      <c r="D13" t="s">
        <v>263</v>
      </c>
      <c r="E13" s="19">
        <v>0.93</v>
      </c>
    </row>
    <row r="14" spans="1:5">
      <c r="A14" t="s">
        <v>264</v>
      </c>
      <c r="B14" t="s">
        <v>265</v>
      </c>
      <c r="C14" t="s">
        <v>232</v>
      </c>
      <c r="D14" t="s">
        <v>266</v>
      </c>
      <c r="E14" s="19">
        <v>0.79</v>
      </c>
    </row>
    <row r="15" spans="1:5">
      <c r="A15" t="s">
        <v>267</v>
      </c>
      <c r="B15" t="s">
        <v>268</v>
      </c>
      <c r="C15" t="s">
        <v>236</v>
      </c>
      <c r="D15" t="s">
        <v>269</v>
      </c>
      <c r="E15" s="19">
        <v>0.97</v>
      </c>
    </row>
    <row r="16" spans="1:5">
      <c r="A16" t="s">
        <v>270</v>
      </c>
      <c r="B16" t="s">
        <v>271</v>
      </c>
      <c r="C16" t="s">
        <v>247</v>
      </c>
      <c r="D16" t="s">
        <v>272</v>
      </c>
      <c r="E16" s="19">
        <v>0.91</v>
      </c>
    </row>
    <row r="17" spans="1:5">
      <c r="A17" t="s">
        <v>273</v>
      </c>
      <c r="B17" t="s">
        <v>274</v>
      </c>
      <c r="C17" t="s">
        <v>228</v>
      </c>
      <c r="D17" t="s">
        <v>275</v>
      </c>
      <c r="E17" s="19">
        <v>0.76</v>
      </c>
    </row>
    <row r="18" spans="1:5">
      <c r="A18" t="s">
        <v>276</v>
      </c>
      <c r="B18" t="s">
        <v>277</v>
      </c>
      <c r="C18" t="s">
        <v>240</v>
      </c>
      <c r="D18" t="s">
        <v>278</v>
      </c>
      <c r="E18" s="19">
        <v>0.98</v>
      </c>
    </row>
    <row r="19" spans="1:5">
      <c r="A19" t="s">
        <v>279</v>
      </c>
      <c r="B19" t="s">
        <v>280</v>
      </c>
      <c r="C19" t="s">
        <v>251</v>
      </c>
      <c r="D19" t="s">
        <v>281</v>
      </c>
      <c r="E19" s="19">
        <v>0.83</v>
      </c>
    </row>
    <row r="20" spans="1:5">
      <c r="A20" t="s">
        <v>282</v>
      </c>
      <c r="B20" t="s">
        <v>283</v>
      </c>
      <c r="C20" t="s">
        <v>232</v>
      </c>
      <c r="D20" t="s">
        <v>284</v>
      </c>
      <c r="E20" s="19">
        <v>0.89</v>
      </c>
    </row>
    <row r="21" spans="1:5">
      <c r="A21" t="s">
        <v>285</v>
      </c>
      <c r="B21" t="s">
        <v>286</v>
      </c>
      <c r="C21" t="s">
        <v>236</v>
      </c>
      <c r="D21" t="s">
        <v>287</v>
      </c>
      <c r="E21" s="19">
        <v>0.65</v>
      </c>
    </row>
    <row r="22" spans="1:5">
      <c r="A22" t="s">
        <v>288</v>
      </c>
      <c r="B22" t="s">
        <v>289</v>
      </c>
      <c r="C22" t="s">
        <v>247</v>
      </c>
      <c r="D22" t="s">
        <v>290</v>
      </c>
      <c r="E22" s="19">
        <v>0.95</v>
      </c>
    </row>
    <row r="23" spans="1:5">
      <c r="A23" t="s">
        <v>291</v>
      </c>
      <c r="B23" t="s">
        <v>292</v>
      </c>
      <c r="C23" t="s">
        <v>228</v>
      </c>
      <c r="D23" t="s">
        <v>293</v>
      </c>
      <c r="E23" s="19">
        <v>0.84</v>
      </c>
    </row>
    <row r="24" spans="1:5">
      <c r="A24" t="s">
        <v>294</v>
      </c>
      <c r="B24" t="s">
        <v>295</v>
      </c>
      <c r="C24" t="s">
        <v>240</v>
      </c>
      <c r="D24" t="s">
        <v>296</v>
      </c>
      <c r="E24" s="19">
        <v>0.96</v>
      </c>
    </row>
    <row r="25" spans="1:5">
      <c r="A25" t="s">
        <v>297</v>
      </c>
      <c r="B25" t="s">
        <v>298</v>
      </c>
      <c r="C25" t="s">
        <v>251</v>
      </c>
      <c r="D25" t="s">
        <v>299</v>
      </c>
      <c r="E25" s="19">
        <v>0.78</v>
      </c>
    </row>
    <row r="26" spans="1:5">
      <c r="A26" t="s">
        <v>300</v>
      </c>
      <c r="B26" t="s">
        <v>301</v>
      </c>
      <c r="C26" t="s">
        <v>232</v>
      </c>
      <c r="D26" t="s">
        <v>302</v>
      </c>
      <c r="E26" s="19">
        <v>0.99</v>
      </c>
    </row>
    <row r="27" spans="1:5">
      <c r="A27" t="s">
        <v>303</v>
      </c>
      <c r="B27" t="s">
        <v>304</v>
      </c>
      <c r="C27" t="s">
        <v>236</v>
      </c>
      <c r="D27" t="s">
        <v>305</v>
      </c>
      <c r="E27" s="19">
        <v>0.72</v>
      </c>
    </row>
    <row r="28" spans="1:5">
      <c r="A28" t="s">
        <v>306</v>
      </c>
      <c r="B28" t="s">
        <v>307</v>
      </c>
      <c r="C28" t="s">
        <v>247</v>
      </c>
      <c r="D28" t="s">
        <v>308</v>
      </c>
      <c r="E28" s="19">
        <v>0.92</v>
      </c>
    </row>
    <row r="29" spans="1:5">
      <c r="A29" t="s">
        <v>309</v>
      </c>
      <c r="B29" t="s">
        <v>63</v>
      </c>
      <c r="C29" t="s">
        <v>228</v>
      </c>
      <c r="D29" t="s">
        <v>310</v>
      </c>
      <c r="E29" s="19">
        <v>0.8</v>
      </c>
    </row>
    <row r="30" spans="1:5">
      <c r="A30" t="s">
        <v>311</v>
      </c>
      <c r="B30" t="s">
        <v>312</v>
      </c>
      <c r="C30" t="s">
        <v>240</v>
      </c>
      <c r="D30" t="s">
        <v>313</v>
      </c>
      <c r="E30" s="19">
        <v>0.97</v>
      </c>
    </row>
    <row r="31" spans="1:5">
      <c r="A31" t="s">
        <v>314</v>
      </c>
      <c r="B31" t="s">
        <v>315</v>
      </c>
      <c r="C31" t="s">
        <v>251</v>
      </c>
      <c r="D31" t="s">
        <v>316</v>
      </c>
      <c r="E31" s="19">
        <v>0.86</v>
      </c>
    </row>
    <row r="32" spans="1:5">
      <c r="A32" t="s">
        <v>317</v>
      </c>
      <c r="B32" t="s">
        <v>318</v>
      </c>
      <c r="C32" t="s">
        <v>232</v>
      </c>
      <c r="D32" t="s">
        <v>319</v>
      </c>
      <c r="E32" s="19">
        <v>0.9</v>
      </c>
    </row>
    <row r="33" spans="1:5">
      <c r="A33" t="s">
        <v>320</v>
      </c>
      <c r="B33" t="s">
        <v>321</v>
      </c>
      <c r="C33" t="s">
        <v>236</v>
      </c>
      <c r="D33" t="s">
        <v>322</v>
      </c>
      <c r="E33" s="19">
        <v>0.75</v>
      </c>
    </row>
    <row r="34" spans="1:5">
      <c r="A34" t="s">
        <v>323</v>
      </c>
      <c r="B34" t="s">
        <v>324</v>
      </c>
      <c r="C34" t="s">
        <v>247</v>
      </c>
      <c r="D34" t="s">
        <v>325</v>
      </c>
      <c r="E34" s="19">
        <v>0.94</v>
      </c>
    </row>
    <row r="35" spans="1:5">
      <c r="A35" t="s">
        <v>326</v>
      </c>
      <c r="B35" t="s">
        <v>327</v>
      </c>
      <c r="C35" t="s">
        <v>228</v>
      </c>
      <c r="D35" t="s">
        <v>328</v>
      </c>
      <c r="E35" s="19">
        <v>0.82</v>
      </c>
    </row>
    <row r="36" spans="1:5">
      <c r="A36" t="s">
        <v>329</v>
      </c>
      <c r="B36" t="s">
        <v>330</v>
      </c>
      <c r="C36" t="s">
        <v>240</v>
      </c>
      <c r="D36" t="s">
        <v>331</v>
      </c>
      <c r="E36" s="19">
        <v>0.99</v>
      </c>
    </row>
    <row r="37" spans="1:5">
      <c r="A37" t="s">
        <v>332</v>
      </c>
      <c r="B37" t="s">
        <v>333</v>
      </c>
      <c r="C37" t="s">
        <v>251</v>
      </c>
      <c r="D37" t="s">
        <v>334</v>
      </c>
      <c r="E37" s="19">
        <v>0.7</v>
      </c>
    </row>
    <row r="38" spans="1:5">
      <c r="A38" t="s">
        <v>335</v>
      </c>
      <c r="B38" t="s">
        <v>336</v>
      </c>
      <c r="C38" t="s">
        <v>232</v>
      </c>
      <c r="D38" t="s">
        <v>337</v>
      </c>
      <c r="E38" s="19">
        <v>0.91</v>
      </c>
    </row>
    <row r="39" spans="1:5">
      <c r="A39" t="s">
        <v>338</v>
      </c>
      <c r="B39" t="s">
        <v>339</v>
      </c>
      <c r="C39" t="s">
        <v>236</v>
      </c>
      <c r="D39" t="s">
        <v>340</v>
      </c>
      <c r="E39" s="19">
        <v>0.87</v>
      </c>
    </row>
    <row r="40" spans="1:5">
      <c r="A40" t="s">
        <v>341</v>
      </c>
      <c r="B40" t="s">
        <v>342</v>
      </c>
      <c r="C40" t="s">
        <v>247</v>
      </c>
      <c r="D40" t="s">
        <v>343</v>
      </c>
      <c r="E40" s="19">
        <v>0.96</v>
      </c>
    </row>
    <row r="41" spans="1:5">
      <c r="A41" t="s">
        <v>344</v>
      </c>
      <c r="B41" t="s">
        <v>345</v>
      </c>
      <c r="C41" t="s">
        <v>228</v>
      </c>
      <c r="D41" t="s">
        <v>346</v>
      </c>
      <c r="E41" s="19">
        <v>0.79</v>
      </c>
    </row>
    <row r="42" spans="1:5">
      <c r="A42" t="s">
        <v>347</v>
      </c>
      <c r="B42" t="s">
        <v>348</v>
      </c>
      <c r="C42" t="s">
        <v>240</v>
      </c>
      <c r="D42" t="s">
        <v>349</v>
      </c>
      <c r="E42" s="19">
        <v>0.93</v>
      </c>
    </row>
    <row r="43" spans="1:5">
      <c r="A43" t="s">
        <v>350</v>
      </c>
      <c r="B43" t="s">
        <v>351</v>
      </c>
      <c r="C43" t="s">
        <v>251</v>
      </c>
      <c r="D43" t="s">
        <v>352</v>
      </c>
      <c r="E43" s="19">
        <v>0.73</v>
      </c>
    </row>
    <row r="44" spans="1:5">
      <c r="A44" t="s">
        <v>353</v>
      </c>
      <c r="B44" t="s">
        <v>354</v>
      </c>
      <c r="C44" t="s">
        <v>232</v>
      </c>
      <c r="D44" t="s">
        <v>355</v>
      </c>
      <c r="E44" s="19">
        <v>0.97</v>
      </c>
    </row>
    <row r="45" spans="1:5">
      <c r="A45" t="s">
        <v>356</v>
      </c>
      <c r="B45" t="s">
        <v>357</v>
      </c>
      <c r="C45" t="s">
        <v>236</v>
      </c>
      <c r="D45" t="s">
        <v>358</v>
      </c>
      <c r="E45" s="19">
        <v>0.85</v>
      </c>
    </row>
    <row r="46" spans="1:5">
      <c r="A46" t="s">
        <v>359</v>
      </c>
      <c r="B46" t="s">
        <v>360</v>
      </c>
      <c r="C46" t="s">
        <v>247</v>
      </c>
      <c r="D46" t="s">
        <v>361</v>
      </c>
      <c r="E46" s="19">
        <v>0.94</v>
      </c>
    </row>
    <row r="47" spans="1:5">
      <c r="A47" t="s">
        <v>362</v>
      </c>
      <c r="B47" t="s">
        <v>363</v>
      </c>
      <c r="C47" t="s">
        <v>228</v>
      </c>
      <c r="D47" t="s">
        <v>364</v>
      </c>
      <c r="E47" s="19">
        <v>0.66</v>
      </c>
    </row>
    <row r="48" spans="1:5">
      <c r="A48" t="s">
        <v>365</v>
      </c>
      <c r="B48" t="s">
        <v>366</v>
      </c>
      <c r="C48" t="s">
        <v>240</v>
      </c>
      <c r="D48" t="s">
        <v>367</v>
      </c>
      <c r="E48" s="19">
        <v>0.95</v>
      </c>
    </row>
    <row r="49" spans="1:5">
      <c r="A49" t="s">
        <v>368</v>
      </c>
      <c r="B49" t="s">
        <v>369</v>
      </c>
      <c r="C49" t="s">
        <v>251</v>
      </c>
      <c r="D49" t="s">
        <v>370</v>
      </c>
      <c r="E49" s="19">
        <v>0.8</v>
      </c>
    </row>
    <row r="50" spans="1:5">
      <c r="A50" t="s">
        <v>371</v>
      </c>
      <c r="B50" t="s">
        <v>372</v>
      </c>
      <c r="C50" t="s">
        <v>232</v>
      </c>
      <c r="D50" t="s">
        <v>373</v>
      </c>
      <c r="E50" s="19">
        <v>0.98</v>
      </c>
    </row>
    <row r="51" spans="1:5">
      <c r="A51" t="s">
        <v>374</v>
      </c>
      <c r="B51" t="s">
        <v>375</v>
      </c>
      <c r="C51" t="s">
        <v>236</v>
      </c>
      <c r="D51" t="s">
        <v>376</v>
      </c>
      <c r="E51" s="19">
        <v>0.86</v>
      </c>
    </row>
    <row r="52" spans="1:5">
      <c r="A52" t="s">
        <v>377</v>
      </c>
      <c r="B52" t="s">
        <v>378</v>
      </c>
      <c r="C52" t="s">
        <v>247</v>
      </c>
      <c r="D52" t="s">
        <v>379</v>
      </c>
      <c r="E52" s="19">
        <v>0.9</v>
      </c>
    </row>
    <row r="53" spans="1:5">
      <c r="A53" t="s">
        <v>380</v>
      </c>
      <c r="B53" t="s">
        <v>381</v>
      </c>
      <c r="C53" t="s">
        <v>228</v>
      </c>
      <c r="D53" t="s">
        <v>382</v>
      </c>
      <c r="E53" s="19">
        <v>0.71</v>
      </c>
    </row>
    <row r="54" spans="1:5">
      <c r="A54" t="s">
        <v>383</v>
      </c>
      <c r="B54" t="s">
        <v>384</v>
      </c>
      <c r="C54" t="s">
        <v>240</v>
      </c>
      <c r="D54" t="s">
        <v>385</v>
      </c>
      <c r="E54" s="19">
        <v>0.96</v>
      </c>
    </row>
    <row r="55" spans="1:5">
      <c r="A55" t="s">
        <v>386</v>
      </c>
      <c r="B55" t="s">
        <v>387</v>
      </c>
      <c r="C55" t="s">
        <v>251</v>
      </c>
      <c r="D55" t="s">
        <v>388</v>
      </c>
      <c r="E55" s="19">
        <v>0.83</v>
      </c>
    </row>
    <row r="56" spans="1:5">
      <c r="A56" t="s">
        <v>389</v>
      </c>
      <c r="B56" t="s">
        <v>390</v>
      </c>
      <c r="C56" t="s">
        <v>232</v>
      </c>
      <c r="D56" t="s">
        <v>391</v>
      </c>
      <c r="E56" s="19">
        <v>0.99</v>
      </c>
    </row>
    <row r="57" spans="1:5">
      <c r="A57" t="s">
        <v>392</v>
      </c>
      <c r="B57" t="s">
        <v>393</v>
      </c>
      <c r="C57" t="s">
        <v>236</v>
      </c>
      <c r="D57" t="s">
        <v>394</v>
      </c>
      <c r="E57" s="19">
        <v>0.77</v>
      </c>
    </row>
    <row r="58" spans="1:5">
      <c r="A58" t="s">
        <v>395</v>
      </c>
      <c r="B58" t="s">
        <v>396</v>
      </c>
      <c r="C58" t="s">
        <v>247</v>
      </c>
      <c r="D58" t="s">
        <v>397</v>
      </c>
      <c r="E58" s="19">
        <v>0.91</v>
      </c>
    </row>
    <row r="59" spans="1:5">
      <c r="A59" t="s">
        <v>398</v>
      </c>
      <c r="B59" t="s">
        <v>399</v>
      </c>
      <c r="C59" t="s">
        <v>228</v>
      </c>
      <c r="D59" t="s">
        <v>400</v>
      </c>
      <c r="E59" s="19">
        <v>0.89</v>
      </c>
    </row>
    <row r="60" spans="1:5">
      <c r="A60" t="s">
        <v>401</v>
      </c>
      <c r="B60" t="s">
        <v>402</v>
      </c>
      <c r="C60" t="s">
        <v>240</v>
      </c>
      <c r="D60" t="s">
        <v>403</v>
      </c>
      <c r="E60" s="19">
        <v>0.97</v>
      </c>
    </row>
    <row r="61" spans="1:5">
      <c r="A61" t="s">
        <v>404</v>
      </c>
      <c r="B61" t="s">
        <v>405</v>
      </c>
      <c r="C61" t="s">
        <v>251</v>
      </c>
      <c r="D61" t="s">
        <v>406</v>
      </c>
      <c r="E61" s="19">
        <v>0.67</v>
      </c>
    </row>
    <row r="62" spans="1:5">
      <c r="A62" t="s">
        <v>407</v>
      </c>
      <c r="B62" t="s">
        <v>408</v>
      </c>
      <c r="C62" t="s">
        <v>232</v>
      </c>
      <c r="D62" t="s">
        <v>409</v>
      </c>
      <c r="E62" s="19">
        <v>0.93</v>
      </c>
    </row>
    <row r="63" spans="1:5">
      <c r="A63" t="s">
        <v>410</v>
      </c>
      <c r="B63" t="s">
        <v>411</v>
      </c>
      <c r="C63" t="s">
        <v>236</v>
      </c>
      <c r="D63" t="s">
        <v>412</v>
      </c>
      <c r="E63" s="19">
        <v>0.78</v>
      </c>
    </row>
    <row r="64" spans="1:5">
      <c r="A64" t="s">
        <v>413</v>
      </c>
      <c r="B64" t="s">
        <v>414</v>
      </c>
      <c r="C64" t="s">
        <v>247</v>
      </c>
      <c r="D64" t="s">
        <v>269</v>
      </c>
      <c r="E64" s="19">
        <v>0.96</v>
      </c>
    </row>
    <row r="65" spans="1:5">
      <c r="A65" t="s">
        <v>415</v>
      </c>
      <c r="B65" t="s">
        <v>416</v>
      </c>
      <c r="C65" t="s">
        <v>228</v>
      </c>
      <c r="D65" t="s">
        <v>417</v>
      </c>
      <c r="E65" s="19">
        <v>0.84</v>
      </c>
    </row>
    <row r="66" spans="1:5">
      <c r="A66" t="s">
        <v>418</v>
      </c>
      <c r="B66" t="s">
        <v>419</v>
      </c>
      <c r="C66" t="s">
        <v>240</v>
      </c>
      <c r="D66" t="s">
        <v>420</v>
      </c>
      <c r="E66" s="19">
        <v>0.95</v>
      </c>
    </row>
    <row r="67" spans="1:5">
      <c r="A67" t="s">
        <v>421</v>
      </c>
      <c r="B67" t="s">
        <v>422</v>
      </c>
      <c r="C67" t="s">
        <v>251</v>
      </c>
      <c r="D67" t="s">
        <v>423</v>
      </c>
      <c r="E67" s="19">
        <v>0.7</v>
      </c>
    </row>
    <row r="68" spans="1:5">
      <c r="A68" t="s">
        <v>424</v>
      </c>
      <c r="B68" t="s">
        <v>425</v>
      </c>
      <c r="C68" t="s">
        <v>232</v>
      </c>
      <c r="D68" t="s">
        <v>426</v>
      </c>
      <c r="E68" s="19">
        <v>0.9</v>
      </c>
    </row>
    <row r="69" spans="1:5">
      <c r="A69" t="s">
        <v>427</v>
      </c>
      <c r="B69" t="s">
        <v>428</v>
      </c>
      <c r="C69" t="s">
        <v>236</v>
      </c>
      <c r="D69" t="s">
        <v>429</v>
      </c>
      <c r="E69" s="19">
        <v>0.81</v>
      </c>
    </row>
    <row r="70" spans="1:5">
      <c r="A70" t="s">
        <v>430</v>
      </c>
      <c r="B70" t="s">
        <v>431</v>
      </c>
      <c r="C70" t="s">
        <v>247</v>
      </c>
      <c r="D70" t="s">
        <v>432</v>
      </c>
      <c r="E70" s="19">
        <v>0.98</v>
      </c>
    </row>
    <row r="71" spans="1:5">
      <c r="A71" t="s">
        <v>433</v>
      </c>
      <c r="B71" t="s">
        <v>434</v>
      </c>
      <c r="C71" t="s">
        <v>228</v>
      </c>
      <c r="D71" t="s">
        <v>435</v>
      </c>
      <c r="E71" s="19">
        <v>0.87</v>
      </c>
    </row>
    <row r="72" spans="1:5">
      <c r="A72" t="s">
        <v>436</v>
      </c>
      <c r="B72" t="s">
        <v>437</v>
      </c>
      <c r="C72" t="s">
        <v>240</v>
      </c>
      <c r="D72" t="s">
        <v>349</v>
      </c>
      <c r="E72" s="19">
        <v>0.94</v>
      </c>
    </row>
    <row r="73" spans="1:5">
      <c r="A73" t="s">
        <v>438</v>
      </c>
      <c r="B73" t="s">
        <v>439</v>
      </c>
      <c r="C73" t="s">
        <v>251</v>
      </c>
      <c r="D73" t="s">
        <v>440</v>
      </c>
      <c r="E73" s="19">
        <v>0.76</v>
      </c>
    </row>
    <row r="74" spans="1:5">
      <c r="A74" t="s">
        <v>441</v>
      </c>
      <c r="B74" t="s">
        <v>442</v>
      </c>
      <c r="C74" t="s">
        <v>232</v>
      </c>
      <c r="D74" t="s">
        <v>443</v>
      </c>
      <c r="E74" s="19">
        <v>0.97</v>
      </c>
    </row>
    <row r="75" spans="1:5">
      <c r="A75" t="s">
        <v>444</v>
      </c>
      <c r="B75" t="s">
        <v>445</v>
      </c>
      <c r="C75" t="s">
        <v>236</v>
      </c>
      <c r="D75" t="s">
        <v>446</v>
      </c>
      <c r="E75" s="19">
        <v>0.85</v>
      </c>
    </row>
    <row r="76" spans="1:5">
      <c r="A76" t="s">
        <v>447</v>
      </c>
      <c r="B76" t="s">
        <v>448</v>
      </c>
      <c r="C76" t="s">
        <v>247</v>
      </c>
      <c r="D76" t="s">
        <v>449</v>
      </c>
      <c r="E76" s="19">
        <v>0.92</v>
      </c>
    </row>
    <row r="77" spans="1:5">
      <c r="A77" t="s">
        <v>450</v>
      </c>
      <c r="B77" t="s">
        <v>451</v>
      </c>
      <c r="C77" t="s">
        <v>228</v>
      </c>
      <c r="D77" t="s">
        <v>452</v>
      </c>
      <c r="E77" s="19">
        <v>0.64</v>
      </c>
    </row>
    <row r="78" spans="1:5">
      <c r="A78" t="s">
        <v>453</v>
      </c>
      <c r="B78" t="s">
        <v>454</v>
      </c>
      <c r="C78" t="s">
        <v>240</v>
      </c>
      <c r="D78" t="s">
        <v>296</v>
      </c>
      <c r="E78" s="19">
        <v>0.96</v>
      </c>
    </row>
    <row r="79" spans="1:5">
      <c r="A79" t="s">
        <v>455</v>
      </c>
      <c r="B79" t="s">
        <v>456</v>
      </c>
      <c r="C79" t="s">
        <v>251</v>
      </c>
      <c r="D79" t="s">
        <v>457</v>
      </c>
      <c r="E79" s="19">
        <v>0.82</v>
      </c>
    </row>
    <row r="80" spans="1:5">
      <c r="A80" t="s">
        <v>458</v>
      </c>
      <c r="B80" t="s">
        <v>459</v>
      </c>
      <c r="C80" t="s">
        <v>232</v>
      </c>
      <c r="D80" t="s">
        <v>460</v>
      </c>
      <c r="E80" s="19">
        <v>0.99</v>
      </c>
    </row>
    <row r="81" spans="1:5">
      <c r="A81" t="s">
        <v>461</v>
      </c>
      <c r="B81" t="s">
        <v>462</v>
      </c>
      <c r="C81" t="s">
        <v>236</v>
      </c>
      <c r="D81" t="s">
        <v>463</v>
      </c>
      <c r="E81" s="19">
        <v>0.73</v>
      </c>
    </row>
    <row r="82" spans="1:5">
      <c r="A82" t="s">
        <v>464</v>
      </c>
      <c r="B82" t="s">
        <v>465</v>
      </c>
      <c r="C82" t="s">
        <v>247</v>
      </c>
      <c r="D82" t="s">
        <v>466</v>
      </c>
      <c r="E82" s="19">
        <v>0.91</v>
      </c>
    </row>
    <row r="83" spans="1:5">
      <c r="A83" t="s">
        <v>467</v>
      </c>
      <c r="B83" t="s">
        <v>10</v>
      </c>
      <c r="C83" t="s">
        <v>228</v>
      </c>
      <c r="D83" t="s">
        <v>229</v>
      </c>
      <c r="E83" s="19">
        <v>0.92</v>
      </c>
    </row>
    <row r="84" spans="1:5">
      <c r="A84" t="s">
        <v>468</v>
      </c>
      <c r="B84" t="s">
        <v>231</v>
      </c>
      <c r="C84" t="s">
        <v>232</v>
      </c>
      <c r="D84" t="s">
        <v>233</v>
      </c>
      <c r="E84" s="19">
        <v>0.96</v>
      </c>
    </row>
    <row r="85" spans="1:5">
      <c r="A85" t="s">
        <v>469</v>
      </c>
      <c r="B85" t="s">
        <v>235</v>
      </c>
      <c r="C85" t="s">
        <v>236</v>
      </c>
      <c r="D85" t="s">
        <v>237</v>
      </c>
      <c r="E85" s="19">
        <v>0.81</v>
      </c>
    </row>
    <row r="86" spans="1:5">
      <c r="A86" t="s">
        <v>470</v>
      </c>
      <c r="B86" t="s">
        <v>239</v>
      </c>
      <c r="C86" t="s">
        <v>240</v>
      </c>
      <c r="D86" t="s">
        <v>241</v>
      </c>
      <c r="E86" s="19">
        <v>0.98</v>
      </c>
    </row>
    <row r="87" spans="1:5">
      <c r="A87" t="s">
        <v>471</v>
      </c>
      <c r="B87" t="s">
        <v>472</v>
      </c>
      <c r="C87" t="s">
        <v>228</v>
      </c>
      <c r="D87" t="s">
        <v>229</v>
      </c>
      <c r="E87" s="19">
        <v>0.92</v>
      </c>
    </row>
    <row r="88" spans="1:5">
      <c r="A88" t="s">
        <v>473</v>
      </c>
      <c r="B88" t="s">
        <v>474</v>
      </c>
      <c r="C88" t="s">
        <v>236</v>
      </c>
      <c r="D88" t="s">
        <v>237</v>
      </c>
      <c r="E88" s="19">
        <v>0.81</v>
      </c>
    </row>
    <row r="89" spans="1:5">
      <c r="A89" t="s">
        <v>475</v>
      </c>
      <c r="B89" t="s">
        <v>231</v>
      </c>
      <c r="C89" t="s">
        <v>232</v>
      </c>
      <c r="D89" t="s">
        <v>233</v>
      </c>
      <c r="E89" s="19">
        <v>0.96</v>
      </c>
    </row>
    <row r="90" spans="1:5">
      <c r="A90" t="s">
        <v>476</v>
      </c>
      <c r="B90" t="s">
        <v>239</v>
      </c>
      <c r="C90" t="s">
        <v>240</v>
      </c>
      <c r="D90" t="s">
        <v>241</v>
      </c>
      <c r="E90" s="19">
        <v>0.98</v>
      </c>
    </row>
    <row r="91" spans="1:5">
      <c r="A91" t="s">
        <v>477</v>
      </c>
      <c r="B91" t="s">
        <v>262</v>
      </c>
      <c r="C91" t="s">
        <v>251</v>
      </c>
      <c r="D91" t="s">
        <v>263</v>
      </c>
      <c r="E91" s="19">
        <v>0.93</v>
      </c>
    </row>
    <row r="92" spans="1:5">
      <c r="A92" t="s">
        <v>478</v>
      </c>
      <c r="B92" t="s">
        <v>33</v>
      </c>
      <c r="C92" t="s">
        <v>240</v>
      </c>
      <c r="D92" t="s">
        <v>260</v>
      </c>
      <c r="E92" s="19">
        <v>0.88</v>
      </c>
    </row>
    <row r="93" spans="1:5">
      <c r="A93" t="s">
        <v>479</v>
      </c>
      <c r="B93" t="s">
        <v>231</v>
      </c>
      <c r="C93" t="s">
        <v>232</v>
      </c>
      <c r="D93" t="s">
        <v>233</v>
      </c>
      <c r="E93" s="19">
        <v>0.96</v>
      </c>
    </row>
    <row r="94" spans="1:5">
      <c r="A94" t="s">
        <v>480</v>
      </c>
      <c r="B94" t="s">
        <v>235</v>
      </c>
      <c r="C94" t="s">
        <v>236</v>
      </c>
      <c r="D94" t="s">
        <v>237</v>
      </c>
      <c r="E94" s="19">
        <v>0.81</v>
      </c>
    </row>
    <row r="95" spans="1:5">
      <c r="A95" t="s">
        <v>481</v>
      </c>
      <c r="B95" t="s">
        <v>246</v>
      </c>
      <c r="C95" t="s">
        <v>247</v>
      </c>
      <c r="D95" t="s">
        <v>248</v>
      </c>
      <c r="E95" s="19">
        <v>0.9</v>
      </c>
    </row>
    <row r="96" spans="1:5" ht="16.5" customHeight="1">
      <c r="A96" t="s">
        <v>484</v>
      </c>
      <c r="B96" t="s">
        <v>250</v>
      </c>
      <c r="C96" t="s">
        <v>251</v>
      </c>
      <c r="D96" t="s">
        <v>252</v>
      </c>
      <c r="E96" s="19">
        <v>0.85</v>
      </c>
    </row>
    <row r="97" spans="1:5">
      <c r="A97" t="s">
        <v>485</v>
      </c>
      <c r="B97" t="s">
        <v>254</v>
      </c>
      <c r="C97" t="s">
        <v>232</v>
      </c>
      <c r="D97" t="s">
        <v>255</v>
      </c>
      <c r="E97" s="19">
        <v>0.99</v>
      </c>
    </row>
    <row r="98" spans="1:5">
      <c r="A98" t="s">
        <v>486</v>
      </c>
      <c r="B98" t="s">
        <v>243</v>
      </c>
      <c r="C98" t="s">
        <v>228</v>
      </c>
      <c r="D98" t="s">
        <v>244</v>
      </c>
      <c r="E98" s="19">
        <v>0.74</v>
      </c>
    </row>
    <row r="99" spans="1:5">
      <c r="A99" t="s">
        <v>487</v>
      </c>
      <c r="B99" t="s">
        <v>246</v>
      </c>
      <c r="C99" t="s">
        <v>247</v>
      </c>
      <c r="D99" t="s">
        <v>248</v>
      </c>
      <c r="E99" s="19">
        <v>0.9</v>
      </c>
    </row>
    <row r="100" spans="1:5">
      <c r="A100" t="s">
        <v>488</v>
      </c>
      <c r="B100" t="s">
        <v>10</v>
      </c>
      <c r="C100" t="s">
        <v>228</v>
      </c>
      <c r="D100" t="s">
        <v>229</v>
      </c>
      <c r="E100" s="19">
        <v>0.92</v>
      </c>
    </row>
    <row r="101" spans="1:5">
      <c r="A101" t="s">
        <v>489</v>
      </c>
      <c r="B101" t="s">
        <v>268</v>
      </c>
      <c r="C101" t="s">
        <v>236</v>
      </c>
      <c r="D101" t="s">
        <v>269</v>
      </c>
      <c r="E101" s="19">
        <v>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2026-10-13T11:24:17Z</dcterms:created>
  <dcterms:modified xsi:type="dcterms:W3CDTF">2026-10-14T12:14:10Z</dcterms:modified>
  <cp:category/>
  <cp:contentStatus/>
</cp:coreProperties>
</file>