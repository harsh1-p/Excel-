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0"/>
  <workbookPr defaultThemeVersion="166925"/>
  <xr:revisionPtr revIDLastSave="0" documentId="8_{0FCBFF86-0203-44F4-9BF2-D2E193E22DFA}" xr6:coauthVersionLast="47" xr6:coauthVersionMax="47" xr10:uidLastSave="{00000000-0000-0000-0000-000000000000}"/>
  <bookViews>
    <workbookView xWindow="240" yWindow="105" windowWidth="14805" windowHeight="8010" firstSheet="1" activeTab="4" xr2:uid="{00000000-000D-0000-FFFF-FFFF00000000}"/>
  </bookViews>
  <sheets>
    <sheet name="SUMIF" sheetId="2" r:id="rId1"/>
    <sheet name="SUMIFS" sheetId="3" r:id="rId2"/>
    <sheet name="COUNTIF" sheetId="4" r:id="rId3"/>
    <sheet name="COUNTIFS" sheetId="5" r:id="rId4"/>
    <sheet name="AVERAGE &amp; AVERAGE IFS" sheetId="6" r:id="rId5"/>
    <sheet name="Raw data " sheetId="1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8" i="6" l="1"/>
  <c r="K7" i="6"/>
  <c r="K6" i="6"/>
  <c r="K5" i="6"/>
  <c r="K4" i="6"/>
  <c r="K8" i="5"/>
  <c r="K7" i="5"/>
  <c r="K6" i="5"/>
  <c r="K5" i="5"/>
  <c r="K4" i="5"/>
  <c r="K7" i="4"/>
  <c r="K6" i="4"/>
  <c r="K5" i="4"/>
  <c r="K4" i="4"/>
  <c r="K3" i="4"/>
  <c r="K11" i="3"/>
  <c r="K10" i="3"/>
  <c r="K9" i="3"/>
  <c r="K8" i="3"/>
  <c r="K7" i="3"/>
  <c r="K4" i="2"/>
  <c r="K3" i="2"/>
  <c r="K7" i="2"/>
  <c r="K6" i="2"/>
  <c r="K5" i="2"/>
</calcChain>
</file>

<file path=xl/sharedStrings.xml><?xml version="1.0" encoding="utf-8"?>
<sst xmlns="http://schemas.openxmlformats.org/spreadsheetml/2006/main" count="674" uniqueCount="50">
  <si>
    <t>OrderID</t>
  </si>
  <si>
    <t>Salesperson</t>
  </si>
  <si>
    <t>Region</t>
  </si>
  <si>
    <t>Product</t>
  </si>
  <si>
    <t>Category</t>
  </si>
  <si>
    <t>Units</t>
  </si>
  <si>
    <t>SalesAmount</t>
  </si>
  <si>
    <t>Status</t>
  </si>
  <si>
    <t>Rahul</t>
  </si>
  <si>
    <t>North</t>
  </si>
  <si>
    <t>Laptop</t>
  </si>
  <si>
    <t>Electronics</t>
  </si>
  <si>
    <t>Completed</t>
  </si>
  <si>
    <t>Priya</t>
  </si>
  <si>
    <t>South</t>
  </si>
  <si>
    <t>Mouse</t>
  </si>
  <si>
    <t>Accessories</t>
  </si>
  <si>
    <t>Sales for Rahul</t>
  </si>
  <si>
    <t>Amit</t>
  </si>
  <si>
    <t>West</t>
  </si>
  <si>
    <t>Pending</t>
  </si>
  <si>
    <t>Sales for Priya</t>
  </si>
  <si>
    <t>Sneha</t>
  </si>
  <si>
    <t>East</t>
  </si>
  <si>
    <t>Keyboard</t>
  </si>
  <si>
    <t>Total Sales in North India</t>
  </si>
  <si>
    <t>Monitor</t>
  </si>
  <si>
    <t>Total sales for Laptop Product</t>
  </si>
  <si>
    <t xml:space="preserve">Total Sales for Completed orders </t>
  </si>
  <si>
    <t>Calculate sales for Rahul in the North region.</t>
  </si>
  <si>
    <t>Sales of Rahul in North</t>
  </si>
  <si>
    <t>Sales for Priya involving Laptops</t>
  </si>
  <si>
    <t>Sales for West region where status is completed</t>
  </si>
  <si>
    <t>Sales for electronic products in East region</t>
  </si>
  <si>
    <t>Sales for sneha status is pending</t>
  </si>
  <si>
    <t>Orders placed by Rahul</t>
  </si>
  <si>
    <t>Number of Laptop orders</t>
  </si>
  <si>
    <t>Orders which completed status</t>
  </si>
  <si>
    <t xml:space="preserve">Number of orders in south region </t>
  </si>
  <si>
    <t xml:space="preserve">Number of orders with more than 5 units </t>
  </si>
  <si>
    <t xml:space="preserve">Rahul's Order in North Region </t>
  </si>
  <si>
    <t>Laptop Orders with completed status</t>
  </si>
  <si>
    <t>South region pending orders</t>
  </si>
  <si>
    <t>Electronics order in West region</t>
  </si>
  <si>
    <t>Orders placed by  sneha for accessories product</t>
  </si>
  <si>
    <t>Average sales amount for Rahul</t>
  </si>
  <si>
    <t>Average sales amount for laptop orders</t>
  </si>
  <si>
    <t xml:space="preserve">Average sales amount in north region </t>
  </si>
  <si>
    <t>Average sales amount for Completed orders in the East region.</t>
  </si>
  <si>
    <t>Average sales amount for Priya's Completed orders.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</si>
</sst>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FFFFFF"/>
      <name val="-Apple-System-Body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50CC9-FBF4-472F-B2FF-D3920E17642B}">
  <dimension ref="A1:K31"/>
  <sheetViews>
    <sheetView workbookViewId="0">
      <selection activeCell="J13" sqref="J13"/>
    </sheetView>
  </sheetViews>
  <sheetFormatPr defaultRowHeight="15"/>
  <cols>
    <col min="1" max="9" width="14" style="1" customWidth="1"/>
    <col min="10" max="10" width="30.85546875" style="1" bestFit="1" customWidth="1"/>
  </cols>
  <sheetData>
    <row r="1" spans="1:11" ht="24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/>
      <c r="J1"/>
    </row>
    <row r="2" spans="1:11">
      <c r="A2" s="1">
        <v>1001</v>
      </c>
      <c r="B2" s="1" t="s">
        <v>8</v>
      </c>
      <c r="C2" s="1" t="s">
        <v>9</v>
      </c>
      <c r="D2" s="1" t="s">
        <v>10</v>
      </c>
      <c r="E2" s="1" t="s">
        <v>11</v>
      </c>
      <c r="F2" s="1">
        <v>2</v>
      </c>
      <c r="G2" s="1">
        <v>90000</v>
      </c>
      <c r="H2" s="1" t="s">
        <v>12</v>
      </c>
      <c r="I2"/>
      <c r="J2"/>
    </row>
    <row r="3" spans="1:11">
      <c r="A3" s="1">
        <v>1002</v>
      </c>
      <c r="B3" s="1" t="s">
        <v>13</v>
      </c>
      <c r="C3" s="1" t="s">
        <v>14</v>
      </c>
      <c r="D3" s="1" t="s">
        <v>15</v>
      </c>
      <c r="E3" s="1" t="s">
        <v>16</v>
      </c>
      <c r="F3" s="1">
        <v>10</v>
      </c>
      <c r="G3" s="1">
        <v>5000</v>
      </c>
      <c r="H3" s="1" t="s">
        <v>12</v>
      </c>
      <c r="I3"/>
      <c r="J3" t="s">
        <v>17</v>
      </c>
      <c r="K3">
        <f>SUMIF(B2:B21,B2,G2:G21)</f>
        <v>184500</v>
      </c>
    </row>
    <row r="4" spans="1:11">
      <c r="A4" s="1">
        <v>1003</v>
      </c>
      <c r="B4" s="1" t="s">
        <v>18</v>
      </c>
      <c r="C4" s="1" t="s">
        <v>19</v>
      </c>
      <c r="D4" s="1" t="s">
        <v>10</v>
      </c>
      <c r="E4" s="1" t="s">
        <v>11</v>
      </c>
      <c r="F4" s="1">
        <v>1</v>
      </c>
      <c r="G4" s="1">
        <v>45000</v>
      </c>
      <c r="H4" s="1" t="s">
        <v>20</v>
      </c>
      <c r="I4"/>
      <c r="J4" t="s">
        <v>21</v>
      </c>
      <c r="K4">
        <f>SUMIF(B2:B21,B3,G2:G21)</f>
        <v>173000</v>
      </c>
    </row>
    <row r="5" spans="1:11">
      <c r="A5" s="1">
        <v>1004</v>
      </c>
      <c r="B5" s="1" t="s">
        <v>22</v>
      </c>
      <c r="C5" s="1" t="s">
        <v>23</v>
      </c>
      <c r="D5" s="1" t="s">
        <v>24</v>
      </c>
      <c r="E5" s="1" t="s">
        <v>16</v>
      </c>
      <c r="F5" s="1">
        <v>5</v>
      </c>
      <c r="G5" s="1">
        <v>7500</v>
      </c>
      <c r="H5" s="1" t="s">
        <v>12</v>
      </c>
      <c r="I5"/>
      <c r="J5" t="s">
        <v>25</v>
      </c>
      <c r="K5">
        <f>SUMIF(C2:C21,C2,G2:G21)</f>
        <v>184500</v>
      </c>
    </row>
    <row r="6" spans="1:11">
      <c r="A6" s="1">
        <v>1005</v>
      </c>
      <c r="B6" s="1" t="s">
        <v>8</v>
      </c>
      <c r="C6" s="1" t="s">
        <v>9</v>
      </c>
      <c r="D6" s="1" t="s">
        <v>26</v>
      </c>
      <c r="E6" s="1" t="s">
        <v>11</v>
      </c>
      <c r="F6" s="1">
        <v>3</v>
      </c>
      <c r="G6" s="1">
        <v>36000</v>
      </c>
      <c r="H6" s="1" t="s">
        <v>20</v>
      </c>
      <c r="I6"/>
      <c r="J6" t="s">
        <v>27</v>
      </c>
      <c r="K6">
        <f>SUMIF(D2:D21,D2,G2:G21)</f>
        <v>585000</v>
      </c>
    </row>
    <row r="7" spans="1:11">
      <c r="A7" s="1">
        <v>1006</v>
      </c>
      <c r="B7" s="1" t="s">
        <v>13</v>
      </c>
      <c r="C7" s="1" t="s">
        <v>14</v>
      </c>
      <c r="D7" s="1" t="s">
        <v>10</v>
      </c>
      <c r="E7" s="1" t="s">
        <v>11</v>
      </c>
      <c r="F7" s="1">
        <v>2</v>
      </c>
      <c r="G7" s="1">
        <v>90000</v>
      </c>
      <c r="H7" s="1" t="s">
        <v>12</v>
      </c>
      <c r="I7"/>
      <c r="J7" t="s">
        <v>28</v>
      </c>
      <c r="K7">
        <f>SUMIF(H2:H21,H2,G2:G21)</f>
        <v>595500</v>
      </c>
    </row>
    <row r="8" spans="1:11">
      <c r="A8" s="1">
        <v>1007</v>
      </c>
      <c r="B8" s="1" t="s">
        <v>18</v>
      </c>
      <c r="C8" s="1" t="s">
        <v>19</v>
      </c>
      <c r="D8" s="1" t="s">
        <v>15</v>
      </c>
      <c r="E8" s="1" t="s">
        <v>16</v>
      </c>
      <c r="F8" s="1">
        <v>8</v>
      </c>
      <c r="G8" s="1">
        <v>4000</v>
      </c>
      <c r="H8" s="1" t="s">
        <v>12</v>
      </c>
      <c r="I8"/>
      <c r="J8"/>
    </row>
    <row r="9" spans="1:11">
      <c r="A9" s="1">
        <v>1008</v>
      </c>
      <c r="B9" s="1" t="s">
        <v>22</v>
      </c>
      <c r="C9" s="1" t="s">
        <v>23</v>
      </c>
      <c r="D9" s="1" t="s">
        <v>10</v>
      </c>
      <c r="E9" s="1" t="s">
        <v>11</v>
      </c>
      <c r="F9" s="1">
        <v>1</v>
      </c>
      <c r="G9" s="1">
        <v>45000</v>
      </c>
      <c r="H9" s="1" t="s">
        <v>20</v>
      </c>
      <c r="I9"/>
      <c r="J9"/>
    </row>
    <row r="10" spans="1:11">
      <c r="A10" s="1">
        <v>1009</v>
      </c>
      <c r="B10" s="1" t="s">
        <v>8</v>
      </c>
      <c r="C10" s="1" t="s">
        <v>9</v>
      </c>
      <c r="D10" s="1" t="s">
        <v>24</v>
      </c>
      <c r="E10" s="1" t="s">
        <v>16</v>
      </c>
      <c r="F10" s="1">
        <v>4</v>
      </c>
      <c r="G10" s="1">
        <v>6000</v>
      </c>
      <c r="H10" s="1" t="s">
        <v>12</v>
      </c>
      <c r="I10"/>
      <c r="J10"/>
    </row>
    <row r="11" spans="1:11">
      <c r="A11" s="1">
        <v>1010</v>
      </c>
      <c r="B11" s="1" t="s">
        <v>13</v>
      </c>
      <c r="C11" s="1" t="s">
        <v>14</v>
      </c>
      <c r="D11" s="1" t="s">
        <v>26</v>
      </c>
      <c r="E11" s="1" t="s">
        <v>11</v>
      </c>
      <c r="F11" s="1">
        <v>2</v>
      </c>
      <c r="G11" s="1">
        <v>24000</v>
      </c>
      <c r="H11" s="1" t="s">
        <v>20</v>
      </c>
      <c r="I11"/>
      <c r="J11"/>
    </row>
    <row r="12" spans="1:11">
      <c r="A12" s="1">
        <v>1011</v>
      </c>
      <c r="B12" s="1" t="s">
        <v>18</v>
      </c>
      <c r="C12" s="1" t="s">
        <v>19</v>
      </c>
      <c r="D12" s="1" t="s">
        <v>10</v>
      </c>
      <c r="E12" s="1" t="s">
        <v>11</v>
      </c>
      <c r="F12" s="1">
        <v>3</v>
      </c>
      <c r="G12" s="1">
        <v>135000</v>
      </c>
      <c r="H12" s="1" t="s">
        <v>12</v>
      </c>
      <c r="I12"/>
      <c r="J12"/>
    </row>
    <row r="13" spans="1:11">
      <c r="A13" s="1">
        <v>1012</v>
      </c>
      <c r="B13" s="1" t="s">
        <v>22</v>
      </c>
      <c r="C13" s="1" t="s">
        <v>23</v>
      </c>
      <c r="D13" s="1" t="s">
        <v>15</v>
      </c>
      <c r="E13" s="1" t="s">
        <v>16</v>
      </c>
      <c r="F13" s="1">
        <v>12</v>
      </c>
      <c r="G13" s="1">
        <v>6000</v>
      </c>
      <c r="H13" s="1" t="s">
        <v>12</v>
      </c>
      <c r="I13"/>
      <c r="J13"/>
    </row>
    <row r="14" spans="1:11">
      <c r="A14" s="1">
        <v>1013</v>
      </c>
      <c r="B14" s="1" t="s">
        <v>8</v>
      </c>
      <c r="C14" s="1" t="s">
        <v>9</v>
      </c>
      <c r="D14" s="1" t="s">
        <v>10</v>
      </c>
      <c r="E14" s="1" t="s">
        <v>11</v>
      </c>
      <c r="F14" s="1">
        <v>1</v>
      </c>
      <c r="G14" s="1">
        <v>45000</v>
      </c>
      <c r="H14" s="1" t="s">
        <v>12</v>
      </c>
      <c r="I14"/>
      <c r="J14"/>
    </row>
    <row r="15" spans="1:11">
      <c r="A15" s="1">
        <v>1014</v>
      </c>
      <c r="B15" s="1" t="s">
        <v>13</v>
      </c>
      <c r="C15" s="1" t="s">
        <v>14</v>
      </c>
      <c r="D15" s="1" t="s">
        <v>24</v>
      </c>
      <c r="E15" s="1" t="s">
        <v>16</v>
      </c>
      <c r="F15" s="1">
        <v>6</v>
      </c>
      <c r="G15" s="1">
        <v>9000</v>
      </c>
      <c r="H15" s="1" t="s">
        <v>20</v>
      </c>
      <c r="I15"/>
      <c r="J15"/>
    </row>
    <row r="16" spans="1:11">
      <c r="A16" s="1">
        <v>1015</v>
      </c>
      <c r="B16" s="1" t="s">
        <v>18</v>
      </c>
      <c r="C16" s="1" t="s">
        <v>19</v>
      </c>
      <c r="D16" s="1" t="s">
        <v>26</v>
      </c>
      <c r="E16" s="1" t="s">
        <v>11</v>
      </c>
      <c r="F16" s="1">
        <v>2</v>
      </c>
      <c r="G16" s="1">
        <v>24000</v>
      </c>
      <c r="H16" s="1" t="s">
        <v>12</v>
      </c>
      <c r="I16"/>
      <c r="J16"/>
    </row>
    <row r="17" spans="1:10">
      <c r="A17" s="1">
        <v>1016</v>
      </c>
      <c r="B17" s="1" t="s">
        <v>22</v>
      </c>
      <c r="C17" s="1" t="s">
        <v>23</v>
      </c>
      <c r="D17" s="1" t="s">
        <v>10</v>
      </c>
      <c r="E17" s="1" t="s">
        <v>11</v>
      </c>
      <c r="F17" s="1">
        <v>2</v>
      </c>
      <c r="G17" s="1">
        <v>90000</v>
      </c>
      <c r="H17" s="1" t="s">
        <v>12</v>
      </c>
      <c r="I17"/>
      <c r="J17"/>
    </row>
    <row r="18" spans="1:10">
      <c r="A18" s="1">
        <v>1017</v>
      </c>
      <c r="B18" s="1" t="s">
        <v>8</v>
      </c>
      <c r="C18" s="1" t="s">
        <v>9</v>
      </c>
      <c r="D18" s="1" t="s">
        <v>15</v>
      </c>
      <c r="E18" s="1" t="s">
        <v>16</v>
      </c>
      <c r="F18" s="1">
        <v>15</v>
      </c>
      <c r="G18" s="1">
        <v>7500</v>
      </c>
      <c r="H18" s="1" t="s">
        <v>20</v>
      </c>
      <c r="I18"/>
      <c r="J18"/>
    </row>
    <row r="19" spans="1:10">
      <c r="A19" s="1">
        <v>1018</v>
      </c>
      <c r="B19" s="1" t="s">
        <v>13</v>
      </c>
      <c r="C19" s="1" t="s">
        <v>14</v>
      </c>
      <c r="D19" s="1" t="s">
        <v>10</v>
      </c>
      <c r="E19" s="1" t="s">
        <v>11</v>
      </c>
      <c r="F19" s="1">
        <v>1</v>
      </c>
      <c r="G19" s="1">
        <v>45000</v>
      </c>
      <c r="H19" s="1" t="s">
        <v>12</v>
      </c>
      <c r="I19"/>
      <c r="J19"/>
    </row>
    <row r="20" spans="1:10">
      <c r="A20" s="1">
        <v>1019</v>
      </c>
      <c r="B20" s="1" t="s">
        <v>18</v>
      </c>
      <c r="C20" s="1" t="s">
        <v>19</v>
      </c>
      <c r="D20" s="1" t="s">
        <v>24</v>
      </c>
      <c r="E20" s="1" t="s">
        <v>16</v>
      </c>
      <c r="F20" s="1">
        <v>3</v>
      </c>
      <c r="G20" s="1">
        <v>4500</v>
      </c>
      <c r="H20" s="1" t="s">
        <v>20</v>
      </c>
      <c r="I20"/>
      <c r="J20"/>
    </row>
    <row r="21" spans="1:10">
      <c r="A21" s="1">
        <v>1020</v>
      </c>
      <c r="B21" s="1" t="s">
        <v>22</v>
      </c>
      <c r="C21" s="1" t="s">
        <v>23</v>
      </c>
      <c r="D21" s="1" t="s">
        <v>26</v>
      </c>
      <c r="E21" s="1" t="s">
        <v>11</v>
      </c>
      <c r="F21" s="1">
        <v>4</v>
      </c>
      <c r="G21" s="1">
        <v>48000</v>
      </c>
      <c r="H21" s="1" t="s">
        <v>12</v>
      </c>
      <c r="I21"/>
      <c r="J21"/>
    </row>
    <row r="22" spans="1:10">
      <c r="A22"/>
      <c r="B22"/>
      <c r="C22"/>
      <c r="D22"/>
      <c r="E22"/>
      <c r="F22"/>
      <c r="G22"/>
      <c r="H22"/>
      <c r="I22"/>
      <c r="J22"/>
    </row>
    <row r="23" spans="1:10">
      <c r="A23"/>
      <c r="B23"/>
      <c r="C23"/>
      <c r="D23"/>
      <c r="E23"/>
      <c r="F23"/>
      <c r="G23"/>
      <c r="H23"/>
      <c r="I23"/>
      <c r="J23"/>
    </row>
    <row r="24" spans="1:10">
      <c r="A24"/>
      <c r="B24"/>
      <c r="C24"/>
      <c r="D24"/>
      <c r="E24"/>
      <c r="F24"/>
      <c r="G24"/>
      <c r="H24"/>
      <c r="I24"/>
      <c r="J24"/>
    </row>
    <row r="25" spans="1:10">
      <c r="A25"/>
      <c r="B25"/>
      <c r="C25"/>
      <c r="D25"/>
      <c r="E25"/>
      <c r="F25"/>
      <c r="G25"/>
      <c r="H25"/>
      <c r="I25"/>
      <c r="J25"/>
    </row>
    <row r="26" spans="1:10">
      <c r="A26"/>
      <c r="B26"/>
      <c r="C26"/>
      <c r="D26"/>
      <c r="E26"/>
      <c r="F26"/>
      <c r="G26"/>
      <c r="H26"/>
      <c r="I26"/>
      <c r="J26"/>
    </row>
    <row r="27" spans="1:10">
      <c r="A27"/>
      <c r="B27"/>
      <c r="C27"/>
      <c r="D27"/>
      <c r="E27"/>
      <c r="F27"/>
      <c r="G27"/>
      <c r="H27"/>
      <c r="I27"/>
      <c r="J27"/>
    </row>
    <row r="28" spans="1:10">
      <c r="A28"/>
      <c r="B28"/>
      <c r="C28"/>
      <c r="D28"/>
      <c r="E28"/>
      <c r="F28"/>
      <c r="G28"/>
      <c r="H28"/>
      <c r="I28"/>
      <c r="J28"/>
    </row>
    <row r="29" spans="1:10">
      <c r="A29"/>
      <c r="B29"/>
      <c r="C29"/>
      <c r="D29"/>
      <c r="E29"/>
      <c r="F29"/>
      <c r="G29"/>
      <c r="H29"/>
      <c r="I29"/>
      <c r="J29"/>
    </row>
    <row r="30" spans="1:10">
      <c r="A30"/>
      <c r="B30"/>
      <c r="C30"/>
      <c r="D30"/>
      <c r="E30"/>
      <c r="F30"/>
      <c r="G30"/>
      <c r="H30"/>
      <c r="I30"/>
      <c r="J30"/>
    </row>
    <row r="31" spans="1:10">
      <c r="A31"/>
      <c r="B31"/>
      <c r="C31"/>
      <c r="D31"/>
      <c r="E31"/>
      <c r="F31"/>
      <c r="G31"/>
      <c r="H31"/>
      <c r="I31"/>
      <c r="J3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1D0AE-2C1E-4F46-AFBB-35DECB4D0B6D}">
  <dimension ref="A1:K31"/>
  <sheetViews>
    <sheetView workbookViewId="0">
      <selection activeCell="K12" sqref="K12"/>
    </sheetView>
  </sheetViews>
  <sheetFormatPr defaultRowHeight="15"/>
  <cols>
    <col min="1" max="9" width="14" style="1" customWidth="1"/>
    <col min="10" max="10" width="44.28515625" style="1" bestFit="1" customWidth="1"/>
  </cols>
  <sheetData>
    <row r="1" spans="1:11" ht="24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/>
      <c r="J1"/>
    </row>
    <row r="2" spans="1:11">
      <c r="A2" s="1">
        <v>1001</v>
      </c>
      <c r="B2" s="1" t="s">
        <v>8</v>
      </c>
      <c r="C2" s="1" t="s">
        <v>9</v>
      </c>
      <c r="D2" s="1" t="s">
        <v>10</v>
      </c>
      <c r="E2" s="1" t="s">
        <v>11</v>
      </c>
      <c r="F2" s="1">
        <v>2</v>
      </c>
      <c r="G2" s="1">
        <v>90000</v>
      </c>
      <c r="H2" s="1" t="s">
        <v>12</v>
      </c>
      <c r="I2"/>
      <c r="J2"/>
    </row>
    <row r="3" spans="1:11">
      <c r="A3" s="1">
        <v>1002</v>
      </c>
      <c r="B3" s="1" t="s">
        <v>13</v>
      </c>
      <c r="C3" s="1" t="s">
        <v>14</v>
      </c>
      <c r="D3" s="1" t="s">
        <v>15</v>
      </c>
      <c r="E3" s="1" t="s">
        <v>16</v>
      </c>
      <c r="F3" s="1">
        <v>10</v>
      </c>
      <c r="G3" s="1">
        <v>5000</v>
      </c>
      <c r="H3" s="1" t="s">
        <v>12</v>
      </c>
      <c r="I3"/>
      <c r="J3"/>
    </row>
    <row r="4" spans="1:11">
      <c r="A4" s="1">
        <v>1003</v>
      </c>
      <c r="B4" s="1" t="s">
        <v>18</v>
      </c>
      <c r="C4" s="1" t="s">
        <v>19</v>
      </c>
      <c r="D4" s="1" t="s">
        <v>10</v>
      </c>
      <c r="E4" s="1" t="s">
        <v>11</v>
      </c>
      <c r="F4" s="1">
        <v>1</v>
      </c>
      <c r="G4" s="1">
        <v>45000</v>
      </c>
      <c r="H4" s="1" t="s">
        <v>20</v>
      </c>
      <c r="I4"/>
      <c r="J4" s="2" t="s">
        <v>29</v>
      </c>
    </row>
    <row r="5" spans="1:11">
      <c r="A5" s="1">
        <v>1004</v>
      </c>
      <c r="B5" s="1" t="s">
        <v>22</v>
      </c>
      <c r="C5" s="1" t="s">
        <v>23</v>
      </c>
      <c r="D5" s="1" t="s">
        <v>24</v>
      </c>
      <c r="E5" s="1" t="s">
        <v>16</v>
      </c>
      <c r="F5" s="1">
        <v>5</v>
      </c>
      <c r="G5" s="1">
        <v>7500</v>
      </c>
      <c r="H5" s="1" t="s">
        <v>12</v>
      </c>
      <c r="I5"/>
      <c r="J5"/>
    </row>
    <row r="6" spans="1:11">
      <c r="A6" s="1">
        <v>1005</v>
      </c>
      <c r="B6" s="1" t="s">
        <v>8</v>
      </c>
      <c r="C6" s="1" t="s">
        <v>9</v>
      </c>
      <c r="D6" s="1" t="s">
        <v>26</v>
      </c>
      <c r="E6" s="1" t="s">
        <v>11</v>
      </c>
      <c r="F6" s="1">
        <v>3</v>
      </c>
      <c r="G6" s="1">
        <v>36000</v>
      </c>
      <c r="H6" s="1" t="s">
        <v>20</v>
      </c>
      <c r="I6"/>
      <c r="J6"/>
    </row>
    <row r="7" spans="1:11">
      <c r="A7" s="1">
        <v>1006</v>
      </c>
      <c r="B7" s="1" t="s">
        <v>13</v>
      </c>
      <c r="C7" s="1" t="s">
        <v>14</v>
      </c>
      <c r="D7" s="1" t="s">
        <v>10</v>
      </c>
      <c r="E7" s="1" t="s">
        <v>11</v>
      </c>
      <c r="F7" s="1">
        <v>2</v>
      </c>
      <c r="G7" s="1">
        <v>90000</v>
      </c>
      <c r="H7" s="1" t="s">
        <v>12</v>
      </c>
      <c r="I7"/>
      <c r="J7" t="s">
        <v>30</v>
      </c>
      <c r="K7">
        <f>SUMIFS(G2:G21,B2:B21,B2,C2:C21,C2)</f>
        <v>184500</v>
      </c>
    </row>
    <row r="8" spans="1:11">
      <c r="A8" s="1">
        <v>1007</v>
      </c>
      <c r="B8" s="1" t="s">
        <v>18</v>
      </c>
      <c r="C8" s="1" t="s">
        <v>19</v>
      </c>
      <c r="D8" s="1" t="s">
        <v>15</v>
      </c>
      <c r="E8" s="1" t="s">
        <v>16</v>
      </c>
      <c r="F8" s="1">
        <v>8</v>
      </c>
      <c r="G8" s="1">
        <v>4000</v>
      </c>
      <c r="H8" s="1" t="s">
        <v>12</v>
      </c>
      <c r="I8"/>
      <c r="J8" t="s">
        <v>31</v>
      </c>
      <c r="K8">
        <f>SUMIFS(G2:G21,B2:B21,B3,D2:D21,D2)</f>
        <v>135000</v>
      </c>
    </row>
    <row r="9" spans="1:11">
      <c r="A9" s="1">
        <v>1008</v>
      </c>
      <c r="B9" s="1" t="s">
        <v>22</v>
      </c>
      <c r="C9" s="1" t="s">
        <v>23</v>
      </c>
      <c r="D9" s="1" t="s">
        <v>10</v>
      </c>
      <c r="E9" s="1" t="s">
        <v>11</v>
      </c>
      <c r="F9" s="1">
        <v>1</v>
      </c>
      <c r="G9" s="1">
        <v>45000</v>
      </c>
      <c r="H9" s="1" t="s">
        <v>20</v>
      </c>
      <c r="I9"/>
      <c r="J9" t="s">
        <v>32</v>
      </c>
      <c r="K9">
        <f>SUMIFS(G2:G21,C2:C21,C4,H2:H21,H2)</f>
        <v>163000</v>
      </c>
    </row>
    <row r="10" spans="1:11">
      <c r="A10" s="1">
        <v>1009</v>
      </c>
      <c r="B10" s="1" t="s">
        <v>8</v>
      </c>
      <c r="C10" s="1" t="s">
        <v>9</v>
      </c>
      <c r="D10" s="1" t="s">
        <v>24</v>
      </c>
      <c r="E10" s="1" t="s">
        <v>16</v>
      </c>
      <c r="F10" s="1">
        <v>4</v>
      </c>
      <c r="G10" s="1">
        <v>6000</v>
      </c>
      <c r="H10" s="1" t="s">
        <v>12</v>
      </c>
      <c r="I10"/>
      <c r="J10" t="s">
        <v>33</v>
      </c>
      <c r="K10">
        <f>SUMIFS(G2:G21,E2:E21,E2,C2:C21,C5)</f>
        <v>183000</v>
      </c>
    </row>
    <row r="11" spans="1:11">
      <c r="A11" s="1">
        <v>1010</v>
      </c>
      <c r="B11" s="1" t="s">
        <v>13</v>
      </c>
      <c r="C11" s="1" t="s">
        <v>14</v>
      </c>
      <c r="D11" s="1" t="s">
        <v>26</v>
      </c>
      <c r="E11" s="1" t="s">
        <v>11</v>
      </c>
      <c r="F11" s="1">
        <v>2</v>
      </c>
      <c r="G11" s="1">
        <v>24000</v>
      </c>
      <c r="H11" s="1" t="s">
        <v>20</v>
      </c>
      <c r="I11"/>
      <c r="J11" t="s">
        <v>34</v>
      </c>
      <c r="K11">
        <f>SUMIFS(G2:G21,B2:B21,B9,H2:H21,H9)</f>
        <v>45000</v>
      </c>
    </row>
    <row r="12" spans="1:11">
      <c r="A12" s="1">
        <v>1011</v>
      </c>
      <c r="B12" s="1" t="s">
        <v>18</v>
      </c>
      <c r="C12" s="1" t="s">
        <v>19</v>
      </c>
      <c r="D12" s="1" t="s">
        <v>10</v>
      </c>
      <c r="E12" s="1" t="s">
        <v>11</v>
      </c>
      <c r="F12" s="1">
        <v>3</v>
      </c>
      <c r="G12" s="1">
        <v>135000</v>
      </c>
      <c r="H12" s="1" t="s">
        <v>12</v>
      </c>
      <c r="I12"/>
      <c r="J12"/>
    </row>
    <row r="13" spans="1:11">
      <c r="A13" s="1">
        <v>1012</v>
      </c>
      <c r="B13" s="1" t="s">
        <v>22</v>
      </c>
      <c r="C13" s="1" t="s">
        <v>23</v>
      </c>
      <c r="D13" s="1" t="s">
        <v>15</v>
      </c>
      <c r="E13" s="1" t="s">
        <v>16</v>
      </c>
      <c r="F13" s="1">
        <v>12</v>
      </c>
      <c r="G13" s="1">
        <v>6000</v>
      </c>
      <c r="H13" s="1" t="s">
        <v>12</v>
      </c>
      <c r="I13"/>
      <c r="J13"/>
    </row>
    <row r="14" spans="1:11">
      <c r="A14" s="1">
        <v>1013</v>
      </c>
      <c r="B14" s="1" t="s">
        <v>8</v>
      </c>
      <c r="C14" s="1" t="s">
        <v>9</v>
      </c>
      <c r="D14" s="1" t="s">
        <v>10</v>
      </c>
      <c r="E14" s="1" t="s">
        <v>11</v>
      </c>
      <c r="F14" s="1">
        <v>1</v>
      </c>
      <c r="G14" s="1">
        <v>45000</v>
      </c>
      <c r="H14" s="1" t="s">
        <v>12</v>
      </c>
      <c r="I14"/>
      <c r="J14"/>
    </row>
    <row r="15" spans="1:11">
      <c r="A15" s="1">
        <v>1014</v>
      </c>
      <c r="B15" s="1" t="s">
        <v>13</v>
      </c>
      <c r="C15" s="1" t="s">
        <v>14</v>
      </c>
      <c r="D15" s="1" t="s">
        <v>24</v>
      </c>
      <c r="E15" s="1" t="s">
        <v>16</v>
      </c>
      <c r="F15" s="1">
        <v>6</v>
      </c>
      <c r="G15" s="1">
        <v>9000</v>
      </c>
      <c r="H15" s="1" t="s">
        <v>20</v>
      </c>
      <c r="I15"/>
      <c r="J15"/>
    </row>
    <row r="16" spans="1:11">
      <c r="A16" s="1">
        <v>1015</v>
      </c>
      <c r="B16" s="1" t="s">
        <v>18</v>
      </c>
      <c r="C16" s="1" t="s">
        <v>19</v>
      </c>
      <c r="D16" s="1" t="s">
        <v>26</v>
      </c>
      <c r="E16" s="1" t="s">
        <v>11</v>
      </c>
      <c r="F16" s="1">
        <v>2</v>
      </c>
      <c r="G16" s="1">
        <v>24000</v>
      </c>
      <c r="H16" s="1" t="s">
        <v>12</v>
      </c>
      <c r="I16"/>
      <c r="J16"/>
    </row>
    <row r="17" spans="1:10">
      <c r="A17" s="1">
        <v>1016</v>
      </c>
      <c r="B17" s="1" t="s">
        <v>22</v>
      </c>
      <c r="C17" s="1" t="s">
        <v>23</v>
      </c>
      <c r="D17" s="1" t="s">
        <v>10</v>
      </c>
      <c r="E17" s="1" t="s">
        <v>11</v>
      </c>
      <c r="F17" s="1">
        <v>2</v>
      </c>
      <c r="G17" s="1">
        <v>90000</v>
      </c>
      <c r="H17" s="1" t="s">
        <v>12</v>
      </c>
      <c r="I17"/>
      <c r="J17"/>
    </row>
    <row r="18" spans="1:10">
      <c r="A18" s="1">
        <v>1017</v>
      </c>
      <c r="B18" s="1" t="s">
        <v>8</v>
      </c>
      <c r="C18" s="1" t="s">
        <v>9</v>
      </c>
      <c r="D18" s="1" t="s">
        <v>15</v>
      </c>
      <c r="E18" s="1" t="s">
        <v>16</v>
      </c>
      <c r="F18" s="1">
        <v>15</v>
      </c>
      <c r="G18" s="1">
        <v>7500</v>
      </c>
      <c r="H18" s="1" t="s">
        <v>20</v>
      </c>
      <c r="I18"/>
      <c r="J18"/>
    </row>
    <row r="19" spans="1:10">
      <c r="A19" s="1">
        <v>1018</v>
      </c>
      <c r="B19" s="1" t="s">
        <v>13</v>
      </c>
      <c r="C19" s="1" t="s">
        <v>14</v>
      </c>
      <c r="D19" s="1" t="s">
        <v>10</v>
      </c>
      <c r="E19" s="1" t="s">
        <v>11</v>
      </c>
      <c r="F19" s="1">
        <v>1</v>
      </c>
      <c r="G19" s="1">
        <v>45000</v>
      </c>
      <c r="H19" s="1" t="s">
        <v>12</v>
      </c>
      <c r="I19"/>
      <c r="J19"/>
    </row>
    <row r="20" spans="1:10">
      <c r="A20" s="1">
        <v>1019</v>
      </c>
      <c r="B20" s="1" t="s">
        <v>18</v>
      </c>
      <c r="C20" s="1" t="s">
        <v>19</v>
      </c>
      <c r="D20" s="1" t="s">
        <v>24</v>
      </c>
      <c r="E20" s="1" t="s">
        <v>16</v>
      </c>
      <c r="F20" s="1">
        <v>3</v>
      </c>
      <c r="G20" s="1">
        <v>4500</v>
      </c>
      <c r="H20" s="1" t="s">
        <v>20</v>
      </c>
      <c r="I20"/>
      <c r="J20"/>
    </row>
    <row r="21" spans="1:10">
      <c r="A21" s="1">
        <v>1020</v>
      </c>
      <c r="B21" s="1" t="s">
        <v>22</v>
      </c>
      <c r="C21" s="1" t="s">
        <v>23</v>
      </c>
      <c r="D21" s="1" t="s">
        <v>26</v>
      </c>
      <c r="E21" s="1" t="s">
        <v>11</v>
      </c>
      <c r="F21" s="1">
        <v>4</v>
      </c>
      <c r="G21" s="1">
        <v>48000</v>
      </c>
      <c r="H21" s="1" t="s">
        <v>12</v>
      </c>
      <c r="I21"/>
      <c r="J21"/>
    </row>
    <row r="22" spans="1:10">
      <c r="A22"/>
      <c r="B22"/>
      <c r="C22"/>
      <c r="D22"/>
      <c r="E22"/>
      <c r="F22"/>
      <c r="G22"/>
      <c r="H22"/>
      <c r="I22"/>
      <c r="J22"/>
    </row>
    <row r="23" spans="1:10">
      <c r="A23"/>
      <c r="B23"/>
      <c r="C23"/>
      <c r="D23"/>
      <c r="E23"/>
      <c r="F23"/>
      <c r="G23"/>
      <c r="H23"/>
      <c r="I23"/>
      <c r="J23"/>
    </row>
    <row r="24" spans="1:10">
      <c r="A24"/>
      <c r="B24"/>
      <c r="C24"/>
      <c r="D24"/>
      <c r="E24"/>
      <c r="F24"/>
      <c r="G24"/>
      <c r="H24"/>
      <c r="I24"/>
      <c r="J24"/>
    </row>
    <row r="25" spans="1:10">
      <c r="A25"/>
      <c r="B25"/>
      <c r="C25"/>
      <c r="D25"/>
      <c r="E25"/>
      <c r="F25"/>
      <c r="G25"/>
      <c r="H25"/>
      <c r="I25"/>
      <c r="J25"/>
    </row>
    <row r="26" spans="1:10">
      <c r="A26"/>
      <c r="B26"/>
      <c r="C26"/>
      <c r="D26"/>
      <c r="E26"/>
      <c r="F26"/>
      <c r="G26"/>
      <c r="H26"/>
      <c r="I26"/>
      <c r="J26"/>
    </row>
    <row r="27" spans="1:10">
      <c r="A27"/>
      <c r="B27"/>
      <c r="C27"/>
      <c r="D27"/>
      <c r="E27"/>
      <c r="F27"/>
      <c r="G27"/>
      <c r="H27"/>
      <c r="I27"/>
      <c r="J27"/>
    </row>
    <row r="28" spans="1:10">
      <c r="A28"/>
      <c r="B28"/>
      <c r="C28"/>
      <c r="D28"/>
      <c r="E28"/>
      <c r="F28"/>
      <c r="G28"/>
      <c r="H28"/>
      <c r="I28"/>
      <c r="J28"/>
    </row>
    <row r="29" spans="1:10">
      <c r="A29"/>
      <c r="B29"/>
      <c r="C29"/>
      <c r="D29"/>
      <c r="E29"/>
      <c r="F29"/>
      <c r="G29"/>
      <c r="H29"/>
      <c r="I29"/>
      <c r="J29"/>
    </row>
    <row r="30" spans="1:10">
      <c r="A30"/>
      <c r="B30"/>
      <c r="C30"/>
      <c r="D30"/>
      <c r="E30"/>
      <c r="F30"/>
      <c r="G30"/>
      <c r="H30"/>
      <c r="I30"/>
      <c r="J30"/>
    </row>
    <row r="31" spans="1:10">
      <c r="A31"/>
      <c r="B31"/>
      <c r="C31"/>
      <c r="D31"/>
      <c r="E31"/>
      <c r="F31"/>
      <c r="G31"/>
      <c r="H31"/>
      <c r="I31"/>
      <c r="J3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E998B-745C-40DD-A658-6B7F1DC36F6B}">
  <dimension ref="A1:K31"/>
  <sheetViews>
    <sheetView workbookViewId="0">
      <selection activeCell="I12" sqref="I12"/>
    </sheetView>
  </sheetViews>
  <sheetFormatPr defaultRowHeight="15"/>
  <cols>
    <col min="1" max="9" width="14" style="1" customWidth="1"/>
    <col min="10" max="10" width="38.5703125" style="1" bestFit="1" customWidth="1"/>
  </cols>
  <sheetData>
    <row r="1" spans="1:11" ht="24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/>
      <c r="J1"/>
    </row>
    <row r="2" spans="1:11">
      <c r="A2" s="1">
        <v>1001</v>
      </c>
      <c r="B2" s="1" t="s">
        <v>8</v>
      </c>
      <c r="C2" s="1" t="s">
        <v>9</v>
      </c>
      <c r="D2" s="1" t="s">
        <v>10</v>
      </c>
      <c r="E2" s="1" t="s">
        <v>11</v>
      </c>
      <c r="F2" s="1">
        <v>2</v>
      </c>
      <c r="G2" s="1">
        <v>90000</v>
      </c>
      <c r="H2" s="1" t="s">
        <v>12</v>
      </c>
      <c r="I2"/>
      <c r="J2"/>
    </row>
    <row r="3" spans="1:11">
      <c r="A3" s="1">
        <v>1002</v>
      </c>
      <c r="B3" s="1" t="s">
        <v>13</v>
      </c>
      <c r="C3" s="1" t="s">
        <v>14</v>
      </c>
      <c r="D3" s="1" t="s">
        <v>15</v>
      </c>
      <c r="E3" s="1" t="s">
        <v>16</v>
      </c>
      <c r="F3" s="1">
        <v>10</v>
      </c>
      <c r="G3" s="1">
        <v>5000</v>
      </c>
      <c r="H3" s="1" t="s">
        <v>12</v>
      </c>
      <c r="I3"/>
      <c r="J3" t="s">
        <v>35</v>
      </c>
      <c r="K3">
        <f>COUNTIF(B2:B21,B2)</f>
        <v>5</v>
      </c>
    </row>
    <row r="4" spans="1:11">
      <c r="A4" s="1">
        <v>1003</v>
      </c>
      <c r="B4" s="1" t="s">
        <v>18</v>
      </c>
      <c r="C4" s="1" t="s">
        <v>19</v>
      </c>
      <c r="D4" s="1" t="s">
        <v>10</v>
      </c>
      <c r="E4" s="1" t="s">
        <v>11</v>
      </c>
      <c r="F4" s="1">
        <v>1</v>
      </c>
      <c r="G4" s="1">
        <v>45000</v>
      </c>
      <c r="H4" s="1" t="s">
        <v>20</v>
      </c>
      <c r="I4"/>
      <c r="J4" t="s">
        <v>36</v>
      </c>
      <c r="K4">
        <f>COUNTIF(D2:D21,D2)</f>
        <v>8</v>
      </c>
    </row>
    <row r="5" spans="1:11">
      <c r="A5" s="1">
        <v>1004</v>
      </c>
      <c r="B5" s="1" t="s">
        <v>22</v>
      </c>
      <c r="C5" s="1" t="s">
        <v>23</v>
      </c>
      <c r="D5" s="1" t="s">
        <v>24</v>
      </c>
      <c r="E5" s="1" t="s">
        <v>16</v>
      </c>
      <c r="F5" s="1">
        <v>5</v>
      </c>
      <c r="G5" s="1">
        <v>7500</v>
      </c>
      <c r="H5" s="1" t="s">
        <v>12</v>
      </c>
      <c r="I5"/>
      <c r="J5" t="s">
        <v>37</v>
      </c>
      <c r="K5">
        <f>COUNTIF(H2:H21,H2)</f>
        <v>13</v>
      </c>
    </row>
    <row r="6" spans="1:11">
      <c r="A6" s="1">
        <v>1005</v>
      </c>
      <c r="B6" s="1" t="s">
        <v>8</v>
      </c>
      <c r="C6" s="1" t="s">
        <v>9</v>
      </c>
      <c r="D6" s="1" t="s">
        <v>26</v>
      </c>
      <c r="E6" s="1" t="s">
        <v>11</v>
      </c>
      <c r="F6" s="1">
        <v>3</v>
      </c>
      <c r="G6" s="1">
        <v>36000</v>
      </c>
      <c r="H6" s="1" t="s">
        <v>20</v>
      </c>
      <c r="I6"/>
      <c r="J6" t="s">
        <v>38</v>
      </c>
      <c r="K6">
        <f>COUNTIF(C2:C21,C3)</f>
        <v>5</v>
      </c>
    </row>
    <row r="7" spans="1:11">
      <c r="A7" s="1">
        <v>1006</v>
      </c>
      <c r="B7" s="1" t="s">
        <v>13</v>
      </c>
      <c r="C7" s="1" t="s">
        <v>14</v>
      </c>
      <c r="D7" s="1" t="s">
        <v>10</v>
      </c>
      <c r="E7" s="1" t="s">
        <v>11</v>
      </c>
      <c r="F7" s="1">
        <v>2</v>
      </c>
      <c r="G7" s="1">
        <v>90000</v>
      </c>
      <c r="H7" s="1" t="s">
        <v>12</v>
      </c>
      <c r="I7"/>
      <c r="J7" t="s">
        <v>39</v>
      </c>
      <c r="K7">
        <f>COUNTIF(F2:F21,"&gt;=5")</f>
        <v>6</v>
      </c>
    </row>
    <row r="8" spans="1:11">
      <c r="A8" s="1">
        <v>1007</v>
      </c>
      <c r="B8" s="1" t="s">
        <v>18</v>
      </c>
      <c r="C8" s="1" t="s">
        <v>19</v>
      </c>
      <c r="D8" s="1" t="s">
        <v>15</v>
      </c>
      <c r="E8" s="1" t="s">
        <v>16</v>
      </c>
      <c r="F8" s="1">
        <v>8</v>
      </c>
      <c r="G8" s="1">
        <v>4000</v>
      </c>
      <c r="H8" s="1" t="s">
        <v>12</v>
      </c>
      <c r="I8"/>
      <c r="J8"/>
    </row>
    <row r="9" spans="1:11">
      <c r="A9" s="1">
        <v>1008</v>
      </c>
      <c r="B9" s="1" t="s">
        <v>22</v>
      </c>
      <c r="C9" s="1" t="s">
        <v>23</v>
      </c>
      <c r="D9" s="1" t="s">
        <v>10</v>
      </c>
      <c r="E9" s="1" t="s">
        <v>11</v>
      </c>
      <c r="F9" s="1">
        <v>1</v>
      </c>
      <c r="G9" s="1">
        <v>45000</v>
      </c>
      <c r="H9" s="1" t="s">
        <v>20</v>
      </c>
      <c r="I9"/>
      <c r="J9"/>
    </row>
    <row r="10" spans="1:11">
      <c r="A10" s="1">
        <v>1009</v>
      </c>
      <c r="B10" s="1" t="s">
        <v>8</v>
      </c>
      <c r="C10" s="1" t="s">
        <v>9</v>
      </c>
      <c r="D10" s="1" t="s">
        <v>24</v>
      </c>
      <c r="E10" s="1" t="s">
        <v>16</v>
      </c>
      <c r="F10" s="1">
        <v>4</v>
      </c>
      <c r="G10" s="1">
        <v>6000</v>
      </c>
      <c r="H10" s="1" t="s">
        <v>12</v>
      </c>
      <c r="I10"/>
      <c r="J10"/>
    </row>
    <row r="11" spans="1:11">
      <c r="A11" s="1">
        <v>1010</v>
      </c>
      <c r="B11" s="1" t="s">
        <v>13</v>
      </c>
      <c r="C11" s="1" t="s">
        <v>14</v>
      </c>
      <c r="D11" s="1" t="s">
        <v>26</v>
      </c>
      <c r="E11" s="1" t="s">
        <v>11</v>
      </c>
      <c r="F11" s="1">
        <v>2</v>
      </c>
      <c r="G11" s="1">
        <v>24000</v>
      </c>
      <c r="H11" s="1" t="s">
        <v>20</v>
      </c>
      <c r="I11"/>
      <c r="J11"/>
    </row>
    <row r="12" spans="1:11">
      <c r="A12" s="1">
        <v>1011</v>
      </c>
      <c r="B12" s="1" t="s">
        <v>18</v>
      </c>
      <c r="C12" s="1" t="s">
        <v>19</v>
      </c>
      <c r="D12" s="1" t="s">
        <v>10</v>
      </c>
      <c r="E12" s="1" t="s">
        <v>11</v>
      </c>
      <c r="F12" s="1">
        <v>3</v>
      </c>
      <c r="G12" s="1">
        <v>135000</v>
      </c>
      <c r="H12" s="1" t="s">
        <v>12</v>
      </c>
      <c r="I12"/>
      <c r="J12"/>
    </row>
    <row r="13" spans="1:11">
      <c r="A13" s="1">
        <v>1012</v>
      </c>
      <c r="B13" s="1" t="s">
        <v>22</v>
      </c>
      <c r="C13" s="1" t="s">
        <v>23</v>
      </c>
      <c r="D13" s="1" t="s">
        <v>15</v>
      </c>
      <c r="E13" s="1" t="s">
        <v>16</v>
      </c>
      <c r="F13" s="1">
        <v>12</v>
      </c>
      <c r="G13" s="1">
        <v>6000</v>
      </c>
      <c r="H13" s="1" t="s">
        <v>12</v>
      </c>
      <c r="I13"/>
      <c r="J13"/>
    </row>
    <row r="14" spans="1:11">
      <c r="A14" s="1">
        <v>1013</v>
      </c>
      <c r="B14" s="1" t="s">
        <v>8</v>
      </c>
      <c r="C14" s="1" t="s">
        <v>9</v>
      </c>
      <c r="D14" s="1" t="s">
        <v>10</v>
      </c>
      <c r="E14" s="1" t="s">
        <v>11</v>
      </c>
      <c r="F14" s="1">
        <v>1</v>
      </c>
      <c r="G14" s="1">
        <v>45000</v>
      </c>
      <c r="H14" s="1" t="s">
        <v>12</v>
      </c>
      <c r="I14"/>
      <c r="J14"/>
    </row>
    <row r="15" spans="1:11">
      <c r="A15" s="1">
        <v>1014</v>
      </c>
      <c r="B15" s="1" t="s">
        <v>13</v>
      </c>
      <c r="C15" s="1" t="s">
        <v>14</v>
      </c>
      <c r="D15" s="1" t="s">
        <v>24</v>
      </c>
      <c r="E15" s="1" t="s">
        <v>16</v>
      </c>
      <c r="F15" s="1">
        <v>6</v>
      </c>
      <c r="G15" s="1">
        <v>9000</v>
      </c>
      <c r="H15" s="1" t="s">
        <v>20</v>
      </c>
      <c r="I15"/>
      <c r="J15"/>
    </row>
    <row r="16" spans="1:11">
      <c r="A16" s="1">
        <v>1015</v>
      </c>
      <c r="B16" s="1" t="s">
        <v>18</v>
      </c>
      <c r="C16" s="1" t="s">
        <v>19</v>
      </c>
      <c r="D16" s="1" t="s">
        <v>26</v>
      </c>
      <c r="E16" s="1" t="s">
        <v>11</v>
      </c>
      <c r="F16" s="1">
        <v>2</v>
      </c>
      <c r="G16" s="1">
        <v>24000</v>
      </c>
      <c r="H16" s="1" t="s">
        <v>12</v>
      </c>
      <c r="I16"/>
      <c r="J16"/>
    </row>
    <row r="17" spans="1:10">
      <c r="A17" s="1">
        <v>1016</v>
      </c>
      <c r="B17" s="1" t="s">
        <v>22</v>
      </c>
      <c r="C17" s="1" t="s">
        <v>23</v>
      </c>
      <c r="D17" s="1" t="s">
        <v>10</v>
      </c>
      <c r="E17" s="1" t="s">
        <v>11</v>
      </c>
      <c r="F17" s="1">
        <v>2</v>
      </c>
      <c r="G17" s="1">
        <v>90000</v>
      </c>
      <c r="H17" s="1" t="s">
        <v>12</v>
      </c>
      <c r="I17"/>
      <c r="J17"/>
    </row>
    <row r="18" spans="1:10">
      <c r="A18" s="1">
        <v>1017</v>
      </c>
      <c r="B18" s="1" t="s">
        <v>8</v>
      </c>
      <c r="C18" s="1" t="s">
        <v>9</v>
      </c>
      <c r="D18" s="1" t="s">
        <v>15</v>
      </c>
      <c r="E18" s="1" t="s">
        <v>16</v>
      </c>
      <c r="F18" s="1">
        <v>15</v>
      </c>
      <c r="G18" s="1">
        <v>7500</v>
      </c>
      <c r="H18" s="1" t="s">
        <v>20</v>
      </c>
      <c r="I18"/>
      <c r="J18"/>
    </row>
    <row r="19" spans="1:10">
      <c r="A19" s="1">
        <v>1018</v>
      </c>
      <c r="B19" s="1" t="s">
        <v>13</v>
      </c>
      <c r="C19" s="1" t="s">
        <v>14</v>
      </c>
      <c r="D19" s="1" t="s">
        <v>10</v>
      </c>
      <c r="E19" s="1" t="s">
        <v>11</v>
      </c>
      <c r="F19" s="1">
        <v>1</v>
      </c>
      <c r="G19" s="1">
        <v>45000</v>
      </c>
      <c r="H19" s="1" t="s">
        <v>12</v>
      </c>
      <c r="I19"/>
      <c r="J19"/>
    </row>
    <row r="20" spans="1:10">
      <c r="A20" s="1">
        <v>1019</v>
      </c>
      <c r="B20" s="1" t="s">
        <v>18</v>
      </c>
      <c r="C20" s="1" t="s">
        <v>19</v>
      </c>
      <c r="D20" s="1" t="s">
        <v>24</v>
      </c>
      <c r="E20" s="1" t="s">
        <v>16</v>
      </c>
      <c r="F20" s="1">
        <v>3</v>
      </c>
      <c r="G20" s="1">
        <v>4500</v>
      </c>
      <c r="H20" s="1" t="s">
        <v>20</v>
      </c>
      <c r="I20"/>
      <c r="J20"/>
    </row>
    <row r="21" spans="1:10">
      <c r="A21" s="1">
        <v>1020</v>
      </c>
      <c r="B21" s="1" t="s">
        <v>22</v>
      </c>
      <c r="C21" s="1" t="s">
        <v>23</v>
      </c>
      <c r="D21" s="1" t="s">
        <v>26</v>
      </c>
      <c r="E21" s="1" t="s">
        <v>11</v>
      </c>
      <c r="F21" s="1">
        <v>4</v>
      </c>
      <c r="G21" s="1">
        <v>48000</v>
      </c>
      <c r="H21" s="1" t="s">
        <v>12</v>
      </c>
      <c r="I21"/>
      <c r="J21"/>
    </row>
    <row r="22" spans="1:10">
      <c r="A22"/>
      <c r="B22"/>
      <c r="C22"/>
      <c r="D22"/>
      <c r="E22"/>
      <c r="F22"/>
      <c r="G22"/>
      <c r="H22"/>
      <c r="I22"/>
      <c r="J22"/>
    </row>
    <row r="23" spans="1:10">
      <c r="A23"/>
      <c r="B23"/>
      <c r="C23"/>
      <c r="D23"/>
      <c r="E23"/>
      <c r="F23"/>
      <c r="G23"/>
      <c r="H23"/>
      <c r="I23"/>
      <c r="J23"/>
    </row>
    <row r="24" spans="1:10">
      <c r="A24"/>
      <c r="B24"/>
      <c r="C24"/>
      <c r="D24"/>
      <c r="E24"/>
      <c r="F24"/>
      <c r="G24"/>
      <c r="H24"/>
      <c r="I24"/>
      <c r="J24"/>
    </row>
    <row r="25" spans="1:10">
      <c r="A25"/>
      <c r="B25"/>
      <c r="C25"/>
      <c r="D25"/>
      <c r="E25"/>
      <c r="F25"/>
      <c r="G25"/>
      <c r="H25"/>
      <c r="I25"/>
      <c r="J25"/>
    </row>
    <row r="26" spans="1:10">
      <c r="A26"/>
      <c r="B26"/>
      <c r="C26"/>
      <c r="D26"/>
      <c r="E26"/>
      <c r="F26"/>
      <c r="G26"/>
      <c r="H26"/>
      <c r="I26"/>
      <c r="J26"/>
    </row>
    <row r="27" spans="1:10">
      <c r="A27"/>
      <c r="B27"/>
      <c r="C27"/>
      <c r="D27"/>
      <c r="E27"/>
      <c r="F27"/>
      <c r="G27"/>
      <c r="H27"/>
      <c r="I27"/>
      <c r="J27"/>
    </row>
    <row r="28" spans="1:10">
      <c r="A28"/>
      <c r="B28"/>
      <c r="C28"/>
      <c r="D28"/>
      <c r="E28"/>
      <c r="F28"/>
      <c r="G28"/>
      <c r="H28"/>
      <c r="I28"/>
      <c r="J28"/>
    </row>
    <row r="29" spans="1:10">
      <c r="A29"/>
      <c r="B29"/>
      <c r="C29"/>
      <c r="D29"/>
      <c r="E29"/>
      <c r="F29"/>
      <c r="G29"/>
      <c r="H29"/>
      <c r="I29"/>
      <c r="J29"/>
    </row>
    <row r="30" spans="1:10">
      <c r="A30"/>
      <c r="B30"/>
      <c r="C30"/>
      <c r="D30"/>
      <c r="E30"/>
      <c r="F30"/>
      <c r="G30"/>
      <c r="H30"/>
      <c r="I30"/>
      <c r="J30"/>
    </row>
    <row r="31" spans="1:10">
      <c r="A31"/>
      <c r="B31"/>
      <c r="C31"/>
      <c r="D31"/>
      <c r="E31"/>
      <c r="F31"/>
      <c r="G31"/>
      <c r="H31"/>
      <c r="I31"/>
      <c r="J3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DAECC-BAF6-4716-91C9-6EF162569EE6}">
  <dimension ref="A1:K31"/>
  <sheetViews>
    <sheetView workbookViewId="0">
      <selection activeCell="I9" sqref="I9"/>
    </sheetView>
  </sheetViews>
  <sheetFormatPr defaultRowHeight="15"/>
  <cols>
    <col min="1" max="9" width="14" style="1" customWidth="1"/>
    <col min="10" max="10" width="43.85546875" style="1" bestFit="1" customWidth="1"/>
  </cols>
  <sheetData>
    <row r="1" spans="1:11" ht="24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/>
      <c r="J1"/>
    </row>
    <row r="2" spans="1:11">
      <c r="A2" s="1">
        <v>1001</v>
      </c>
      <c r="B2" s="1" t="s">
        <v>8</v>
      </c>
      <c r="C2" s="1" t="s">
        <v>9</v>
      </c>
      <c r="D2" s="1" t="s">
        <v>10</v>
      </c>
      <c r="E2" s="1" t="s">
        <v>11</v>
      </c>
      <c r="F2" s="1">
        <v>2</v>
      </c>
      <c r="G2" s="1">
        <v>90000</v>
      </c>
      <c r="H2" s="1" t="s">
        <v>12</v>
      </c>
      <c r="I2"/>
      <c r="J2"/>
    </row>
    <row r="3" spans="1:11">
      <c r="A3" s="1">
        <v>1002</v>
      </c>
      <c r="B3" s="1" t="s">
        <v>13</v>
      </c>
      <c r="C3" s="1" t="s">
        <v>14</v>
      </c>
      <c r="D3" s="1" t="s">
        <v>15</v>
      </c>
      <c r="E3" s="1" t="s">
        <v>16</v>
      </c>
      <c r="F3" s="1">
        <v>10</v>
      </c>
      <c r="G3" s="1">
        <v>5000</v>
      </c>
      <c r="H3" s="1" t="s">
        <v>12</v>
      </c>
      <c r="I3"/>
      <c r="J3"/>
    </row>
    <row r="4" spans="1:11">
      <c r="A4" s="1">
        <v>1003</v>
      </c>
      <c r="B4" s="1" t="s">
        <v>18</v>
      </c>
      <c r="C4" s="1" t="s">
        <v>19</v>
      </c>
      <c r="D4" s="1" t="s">
        <v>10</v>
      </c>
      <c r="E4" s="1" t="s">
        <v>11</v>
      </c>
      <c r="F4" s="1">
        <v>1</v>
      </c>
      <c r="G4" s="1">
        <v>45000</v>
      </c>
      <c r="H4" s="1" t="s">
        <v>20</v>
      </c>
      <c r="I4"/>
      <c r="J4" s="3" t="s">
        <v>40</v>
      </c>
      <c r="K4" s="1">
        <f>COUNTIFS(B2:B21,B2,C2:C21,C2)</f>
        <v>5</v>
      </c>
    </row>
    <row r="5" spans="1:11">
      <c r="A5" s="1">
        <v>1004</v>
      </c>
      <c r="B5" s="1" t="s">
        <v>22</v>
      </c>
      <c r="C5" s="1" t="s">
        <v>23</v>
      </c>
      <c r="D5" s="1" t="s">
        <v>24</v>
      </c>
      <c r="E5" s="1" t="s">
        <v>16</v>
      </c>
      <c r="F5" s="1">
        <v>5</v>
      </c>
      <c r="G5" s="1">
        <v>7500</v>
      </c>
      <c r="H5" s="1" t="s">
        <v>12</v>
      </c>
      <c r="I5"/>
      <c r="J5" s="3" t="s">
        <v>41</v>
      </c>
      <c r="K5" s="1">
        <f>COUNTIFS(D2:D21,D2,H2:H21,H2)</f>
        <v>6</v>
      </c>
    </row>
    <row r="6" spans="1:11">
      <c r="A6" s="1">
        <v>1005</v>
      </c>
      <c r="B6" s="1" t="s">
        <v>8</v>
      </c>
      <c r="C6" s="1" t="s">
        <v>9</v>
      </c>
      <c r="D6" s="1" t="s">
        <v>26</v>
      </c>
      <c r="E6" s="1" t="s">
        <v>11</v>
      </c>
      <c r="F6" s="1">
        <v>3</v>
      </c>
      <c r="G6" s="1">
        <v>36000</v>
      </c>
      <c r="H6" s="1" t="s">
        <v>20</v>
      </c>
      <c r="I6"/>
      <c r="J6" s="3" t="s">
        <v>42</v>
      </c>
      <c r="K6" s="1">
        <f>COUNTIFS(C2:C21,C3,H2:H21,H4)</f>
        <v>2</v>
      </c>
    </row>
    <row r="7" spans="1:11">
      <c r="A7" s="1">
        <v>1006</v>
      </c>
      <c r="B7" s="1" t="s">
        <v>13</v>
      </c>
      <c r="C7" s="1" t="s">
        <v>14</v>
      </c>
      <c r="D7" s="1" t="s">
        <v>10</v>
      </c>
      <c r="E7" s="1" t="s">
        <v>11</v>
      </c>
      <c r="F7" s="1">
        <v>2</v>
      </c>
      <c r="G7" s="1">
        <v>90000</v>
      </c>
      <c r="H7" s="1" t="s">
        <v>12</v>
      </c>
      <c r="I7"/>
      <c r="J7" s="3" t="s">
        <v>43</v>
      </c>
      <c r="K7" s="1">
        <f>COUNTIFS(E2:E21,E2,C2:C21,C4)</f>
        <v>3</v>
      </c>
    </row>
    <row r="8" spans="1:11">
      <c r="A8" s="1">
        <v>1007</v>
      </c>
      <c r="B8" s="1" t="s">
        <v>18</v>
      </c>
      <c r="C8" s="1" t="s">
        <v>19</v>
      </c>
      <c r="D8" s="1" t="s">
        <v>15</v>
      </c>
      <c r="E8" s="1" t="s">
        <v>16</v>
      </c>
      <c r="F8" s="1">
        <v>8</v>
      </c>
      <c r="G8" s="1">
        <v>4000</v>
      </c>
      <c r="H8" s="1" t="s">
        <v>12</v>
      </c>
      <c r="I8"/>
      <c r="J8" s="3" t="s">
        <v>44</v>
      </c>
      <c r="K8" s="1">
        <f>COUNTIFS(B2:B21,B5,E2:E21,E3)</f>
        <v>2</v>
      </c>
    </row>
    <row r="9" spans="1:11">
      <c r="A9" s="1">
        <v>1008</v>
      </c>
      <c r="B9" s="1" t="s">
        <v>22</v>
      </c>
      <c r="C9" s="1" t="s">
        <v>23</v>
      </c>
      <c r="D9" s="1" t="s">
        <v>10</v>
      </c>
      <c r="E9" s="1" t="s">
        <v>11</v>
      </c>
      <c r="F9" s="1">
        <v>1</v>
      </c>
      <c r="G9" s="1">
        <v>45000</v>
      </c>
      <c r="H9" s="1" t="s">
        <v>20</v>
      </c>
      <c r="I9"/>
      <c r="J9" s="3"/>
      <c r="K9" s="3"/>
    </row>
    <row r="10" spans="1:11">
      <c r="A10" s="1">
        <v>1009</v>
      </c>
      <c r="B10" s="1" t="s">
        <v>8</v>
      </c>
      <c r="C10" s="1" t="s">
        <v>9</v>
      </c>
      <c r="D10" s="1" t="s">
        <v>24</v>
      </c>
      <c r="E10" s="1" t="s">
        <v>16</v>
      </c>
      <c r="F10" s="1">
        <v>4</v>
      </c>
      <c r="G10" s="1">
        <v>6000</v>
      </c>
      <c r="H10" s="1" t="s">
        <v>12</v>
      </c>
      <c r="I10"/>
      <c r="J10"/>
    </row>
    <row r="11" spans="1:11">
      <c r="A11" s="1">
        <v>1010</v>
      </c>
      <c r="B11" s="1" t="s">
        <v>13</v>
      </c>
      <c r="C11" s="1" t="s">
        <v>14</v>
      </c>
      <c r="D11" s="1" t="s">
        <v>26</v>
      </c>
      <c r="E11" s="1" t="s">
        <v>11</v>
      </c>
      <c r="F11" s="1">
        <v>2</v>
      </c>
      <c r="G11" s="1">
        <v>24000</v>
      </c>
      <c r="H11" s="1" t="s">
        <v>20</v>
      </c>
      <c r="I11"/>
      <c r="J11"/>
    </row>
    <row r="12" spans="1:11">
      <c r="A12" s="1">
        <v>1011</v>
      </c>
      <c r="B12" s="1" t="s">
        <v>18</v>
      </c>
      <c r="C12" s="1" t="s">
        <v>19</v>
      </c>
      <c r="D12" s="1" t="s">
        <v>10</v>
      </c>
      <c r="E12" s="1" t="s">
        <v>11</v>
      </c>
      <c r="F12" s="1">
        <v>3</v>
      </c>
      <c r="G12" s="1">
        <v>135000</v>
      </c>
      <c r="H12" s="1" t="s">
        <v>12</v>
      </c>
      <c r="I12"/>
      <c r="J12"/>
    </row>
    <row r="13" spans="1:11">
      <c r="A13" s="1">
        <v>1012</v>
      </c>
      <c r="B13" s="1" t="s">
        <v>22</v>
      </c>
      <c r="C13" s="1" t="s">
        <v>23</v>
      </c>
      <c r="D13" s="1" t="s">
        <v>15</v>
      </c>
      <c r="E13" s="1" t="s">
        <v>16</v>
      </c>
      <c r="F13" s="1">
        <v>12</v>
      </c>
      <c r="G13" s="1">
        <v>6000</v>
      </c>
      <c r="H13" s="1" t="s">
        <v>12</v>
      </c>
      <c r="I13"/>
      <c r="J13"/>
    </row>
    <row r="14" spans="1:11">
      <c r="A14" s="1">
        <v>1013</v>
      </c>
      <c r="B14" s="1" t="s">
        <v>8</v>
      </c>
      <c r="C14" s="1" t="s">
        <v>9</v>
      </c>
      <c r="D14" s="1" t="s">
        <v>10</v>
      </c>
      <c r="E14" s="1" t="s">
        <v>11</v>
      </c>
      <c r="F14" s="1">
        <v>1</v>
      </c>
      <c r="G14" s="1">
        <v>45000</v>
      </c>
      <c r="H14" s="1" t="s">
        <v>12</v>
      </c>
      <c r="I14"/>
      <c r="J14"/>
    </row>
    <row r="15" spans="1:11">
      <c r="A15" s="1">
        <v>1014</v>
      </c>
      <c r="B15" s="1" t="s">
        <v>13</v>
      </c>
      <c r="C15" s="1" t="s">
        <v>14</v>
      </c>
      <c r="D15" s="1" t="s">
        <v>24</v>
      </c>
      <c r="E15" s="1" t="s">
        <v>16</v>
      </c>
      <c r="F15" s="1">
        <v>6</v>
      </c>
      <c r="G15" s="1">
        <v>9000</v>
      </c>
      <c r="H15" s="1" t="s">
        <v>20</v>
      </c>
      <c r="I15"/>
      <c r="J15"/>
    </row>
    <row r="16" spans="1:11">
      <c r="A16" s="1">
        <v>1015</v>
      </c>
      <c r="B16" s="1" t="s">
        <v>18</v>
      </c>
      <c r="C16" s="1" t="s">
        <v>19</v>
      </c>
      <c r="D16" s="1" t="s">
        <v>26</v>
      </c>
      <c r="E16" s="1" t="s">
        <v>11</v>
      </c>
      <c r="F16" s="1">
        <v>2</v>
      </c>
      <c r="G16" s="1">
        <v>24000</v>
      </c>
      <c r="H16" s="1" t="s">
        <v>12</v>
      </c>
      <c r="I16"/>
      <c r="J16"/>
    </row>
    <row r="17" spans="1:10">
      <c r="A17" s="1">
        <v>1016</v>
      </c>
      <c r="B17" s="1" t="s">
        <v>22</v>
      </c>
      <c r="C17" s="1" t="s">
        <v>23</v>
      </c>
      <c r="D17" s="1" t="s">
        <v>10</v>
      </c>
      <c r="E17" s="1" t="s">
        <v>11</v>
      </c>
      <c r="F17" s="1">
        <v>2</v>
      </c>
      <c r="G17" s="1">
        <v>90000</v>
      </c>
      <c r="H17" s="1" t="s">
        <v>12</v>
      </c>
      <c r="I17"/>
      <c r="J17"/>
    </row>
    <row r="18" spans="1:10">
      <c r="A18" s="1">
        <v>1017</v>
      </c>
      <c r="B18" s="1" t="s">
        <v>8</v>
      </c>
      <c r="C18" s="1" t="s">
        <v>9</v>
      </c>
      <c r="D18" s="1" t="s">
        <v>15</v>
      </c>
      <c r="E18" s="1" t="s">
        <v>16</v>
      </c>
      <c r="F18" s="1">
        <v>15</v>
      </c>
      <c r="G18" s="1">
        <v>7500</v>
      </c>
      <c r="H18" s="1" t="s">
        <v>20</v>
      </c>
      <c r="I18"/>
      <c r="J18"/>
    </row>
    <row r="19" spans="1:10">
      <c r="A19" s="1">
        <v>1018</v>
      </c>
      <c r="B19" s="1" t="s">
        <v>13</v>
      </c>
      <c r="C19" s="1" t="s">
        <v>14</v>
      </c>
      <c r="D19" s="1" t="s">
        <v>10</v>
      </c>
      <c r="E19" s="1" t="s">
        <v>11</v>
      </c>
      <c r="F19" s="1">
        <v>1</v>
      </c>
      <c r="G19" s="1">
        <v>45000</v>
      </c>
      <c r="H19" s="1" t="s">
        <v>12</v>
      </c>
      <c r="I19"/>
      <c r="J19"/>
    </row>
    <row r="20" spans="1:10">
      <c r="A20" s="1">
        <v>1019</v>
      </c>
      <c r="B20" s="1" t="s">
        <v>18</v>
      </c>
      <c r="C20" s="1" t="s">
        <v>19</v>
      </c>
      <c r="D20" s="1" t="s">
        <v>24</v>
      </c>
      <c r="E20" s="1" t="s">
        <v>16</v>
      </c>
      <c r="F20" s="1">
        <v>3</v>
      </c>
      <c r="G20" s="1">
        <v>4500</v>
      </c>
      <c r="H20" s="1" t="s">
        <v>20</v>
      </c>
      <c r="I20"/>
      <c r="J20"/>
    </row>
    <row r="21" spans="1:10">
      <c r="A21" s="1">
        <v>1020</v>
      </c>
      <c r="B21" s="1" t="s">
        <v>22</v>
      </c>
      <c r="C21" s="1" t="s">
        <v>23</v>
      </c>
      <c r="D21" s="1" t="s">
        <v>26</v>
      </c>
      <c r="E21" s="1" t="s">
        <v>11</v>
      </c>
      <c r="F21" s="1">
        <v>4</v>
      </c>
      <c r="G21" s="1">
        <v>48000</v>
      </c>
      <c r="H21" s="1" t="s">
        <v>12</v>
      </c>
      <c r="I21"/>
      <c r="J21"/>
    </row>
    <row r="22" spans="1:10">
      <c r="A22"/>
      <c r="B22"/>
      <c r="C22"/>
      <c r="D22"/>
      <c r="E22"/>
      <c r="F22"/>
      <c r="G22"/>
      <c r="H22"/>
      <c r="I22"/>
      <c r="J22"/>
    </row>
    <row r="23" spans="1:10">
      <c r="A23"/>
      <c r="B23"/>
      <c r="C23"/>
      <c r="D23"/>
      <c r="E23"/>
      <c r="F23"/>
      <c r="G23"/>
      <c r="H23"/>
      <c r="I23"/>
      <c r="J23"/>
    </row>
    <row r="24" spans="1:10">
      <c r="A24"/>
      <c r="B24"/>
      <c r="C24"/>
      <c r="D24"/>
      <c r="E24"/>
      <c r="F24"/>
      <c r="G24"/>
      <c r="H24"/>
      <c r="I24"/>
      <c r="J24"/>
    </row>
    <row r="25" spans="1:10">
      <c r="A25"/>
      <c r="B25"/>
      <c r="C25"/>
      <c r="D25"/>
      <c r="E25"/>
      <c r="F25"/>
      <c r="G25"/>
      <c r="H25"/>
      <c r="I25"/>
      <c r="J25"/>
    </row>
    <row r="26" spans="1:10">
      <c r="A26"/>
      <c r="B26"/>
      <c r="C26"/>
      <c r="D26"/>
      <c r="E26"/>
      <c r="F26"/>
      <c r="G26"/>
      <c r="H26"/>
      <c r="I26"/>
      <c r="J26"/>
    </row>
    <row r="27" spans="1:10">
      <c r="A27"/>
      <c r="B27"/>
      <c r="C27"/>
      <c r="D27"/>
      <c r="E27"/>
      <c r="F27"/>
      <c r="G27"/>
      <c r="H27"/>
      <c r="I27"/>
      <c r="J27"/>
    </row>
    <row r="28" spans="1:10">
      <c r="A28"/>
      <c r="B28"/>
      <c r="C28"/>
      <c r="D28"/>
      <c r="E28"/>
      <c r="F28"/>
      <c r="G28"/>
      <c r="H28"/>
      <c r="I28"/>
      <c r="J28"/>
    </row>
    <row r="29" spans="1:10">
      <c r="A29"/>
      <c r="B29"/>
      <c r="C29"/>
      <c r="D29"/>
      <c r="E29"/>
      <c r="F29"/>
      <c r="G29"/>
      <c r="H29"/>
      <c r="I29"/>
      <c r="J29"/>
    </row>
    <row r="30" spans="1:10">
      <c r="A30"/>
      <c r="B30"/>
      <c r="C30"/>
      <c r="D30"/>
      <c r="E30"/>
      <c r="F30"/>
      <c r="G30"/>
      <c r="H30"/>
      <c r="I30"/>
      <c r="J30"/>
    </row>
    <row r="31" spans="1:10">
      <c r="A31"/>
      <c r="B31"/>
      <c r="C31"/>
      <c r="D31"/>
      <c r="E31"/>
      <c r="F31"/>
      <c r="G31"/>
      <c r="H31"/>
      <c r="I31"/>
      <c r="J3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A4526-29AB-4240-9098-871E3BE0E2D9}">
  <dimension ref="A1:K31"/>
  <sheetViews>
    <sheetView tabSelected="1" workbookViewId="0">
      <selection activeCell="K9" sqref="K9"/>
    </sheetView>
  </sheetViews>
  <sheetFormatPr defaultRowHeight="15"/>
  <cols>
    <col min="1" max="9" width="14" style="1" customWidth="1"/>
    <col min="10" max="10" width="57.28515625" style="1" bestFit="1" customWidth="1"/>
  </cols>
  <sheetData>
    <row r="1" spans="1:11" ht="24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/>
      <c r="J1"/>
    </row>
    <row r="2" spans="1:11">
      <c r="A2" s="1">
        <v>1001</v>
      </c>
      <c r="B2" s="1" t="s">
        <v>8</v>
      </c>
      <c r="C2" s="1" t="s">
        <v>9</v>
      </c>
      <c r="D2" s="1" t="s">
        <v>10</v>
      </c>
      <c r="E2" s="1" t="s">
        <v>11</v>
      </c>
      <c r="F2" s="1">
        <v>2</v>
      </c>
      <c r="G2" s="1">
        <v>90000</v>
      </c>
      <c r="H2" s="1" t="s">
        <v>12</v>
      </c>
      <c r="I2"/>
      <c r="J2"/>
    </row>
    <row r="3" spans="1:11">
      <c r="A3" s="1">
        <v>1002</v>
      </c>
      <c r="B3" s="1" t="s">
        <v>13</v>
      </c>
      <c r="C3" s="1" t="s">
        <v>14</v>
      </c>
      <c r="D3" s="1" t="s">
        <v>15</v>
      </c>
      <c r="E3" s="1" t="s">
        <v>16</v>
      </c>
      <c r="F3" s="1">
        <v>10</v>
      </c>
      <c r="G3" s="1">
        <v>5000</v>
      </c>
      <c r="H3" s="1" t="s">
        <v>12</v>
      </c>
      <c r="I3"/>
      <c r="J3"/>
    </row>
    <row r="4" spans="1:11">
      <c r="A4" s="1">
        <v>1003</v>
      </c>
      <c r="B4" s="1" t="s">
        <v>18</v>
      </c>
      <c r="C4" s="1" t="s">
        <v>19</v>
      </c>
      <c r="D4" s="1" t="s">
        <v>10</v>
      </c>
      <c r="E4" s="1" t="s">
        <v>11</v>
      </c>
      <c r="F4" s="1">
        <v>1</v>
      </c>
      <c r="G4" s="1">
        <v>45000</v>
      </c>
      <c r="H4" s="1" t="s">
        <v>20</v>
      </c>
      <c r="I4"/>
      <c r="J4" t="s">
        <v>45</v>
      </c>
      <c r="K4">
        <f>AVERAGEIF(B2:B21,B2,G2:G21)</f>
        <v>36900</v>
      </c>
    </row>
    <row r="5" spans="1:11">
      <c r="A5" s="1">
        <v>1004</v>
      </c>
      <c r="B5" s="1" t="s">
        <v>22</v>
      </c>
      <c r="C5" s="1" t="s">
        <v>23</v>
      </c>
      <c r="D5" s="1" t="s">
        <v>24</v>
      </c>
      <c r="E5" s="1" t="s">
        <v>16</v>
      </c>
      <c r="F5" s="1">
        <v>5</v>
      </c>
      <c r="G5" s="1">
        <v>7500</v>
      </c>
      <c r="H5" s="1" t="s">
        <v>12</v>
      </c>
      <c r="I5"/>
      <c r="J5" t="s">
        <v>46</v>
      </c>
      <c r="K5">
        <f>AVERAGEIF(D2:D21,D2,G2:G21)</f>
        <v>73125</v>
      </c>
    </row>
    <row r="6" spans="1:11">
      <c r="A6" s="1">
        <v>1005</v>
      </c>
      <c r="B6" s="1" t="s">
        <v>8</v>
      </c>
      <c r="C6" s="1" t="s">
        <v>9</v>
      </c>
      <c r="D6" s="1" t="s">
        <v>26</v>
      </c>
      <c r="E6" s="1" t="s">
        <v>11</v>
      </c>
      <c r="F6" s="1">
        <v>3</v>
      </c>
      <c r="G6" s="1">
        <v>36000</v>
      </c>
      <c r="H6" s="1" t="s">
        <v>20</v>
      </c>
      <c r="I6"/>
      <c r="J6" t="s">
        <v>47</v>
      </c>
      <c r="K6">
        <f>AVERAGEIF(C2:C21,C2,G2:G21)</f>
        <v>36900</v>
      </c>
    </row>
    <row r="7" spans="1:11">
      <c r="A7" s="1">
        <v>1006</v>
      </c>
      <c r="B7" s="1" t="s">
        <v>13</v>
      </c>
      <c r="C7" s="1" t="s">
        <v>14</v>
      </c>
      <c r="D7" s="1" t="s">
        <v>10</v>
      </c>
      <c r="E7" s="1" t="s">
        <v>11</v>
      </c>
      <c r="F7" s="1">
        <v>2</v>
      </c>
      <c r="G7" s="1">
        <v>90000</v>
      </c>
      <c r="H7" s="1" t="s">
        <v>12</v>
      </c>
      <c r="I7"/>
      <c r="J7" t="s">
        <v>48</v>
      </c>
      <c r="K7">
        <f>AVERAGEIFS(G2:G21,H2:H21,H2,C2:C21,C5)</f>
        <v>37875</v>
      </c>
    </row>
    <row r="8" spans="1:11">
      <c r="A8" s="1">
        <v>1007</v>
      </c>
      <c r="B8" s="1" t="s">
        <v>18</v>
      </c>
      <c r="C8" s="1" t="s">
        <v>19</v>
      </c>
      <c r="D8" s="1" t="s">
        <v>15</v>
      </c>
      <c r="E8" s="1" t="s">
        <v>16</v>
      </c>
      <c r="F8" s="1">
        <v>8</v>
      </c>
      <c r="G8" s="1">
        <v>4000</v>
      </c>
      <c r="H8" s="1" t="s">
        <v>12</v>
      </c>
      <c r="I8"/>
      <c r="J8" t="s">
        <v>49</v>
      </c>
      <c r="K8">
        <f>AVERAGEIFS(G2:G21,B2:B21,B3,H2:H21,H2)</f>
        <v>46666.666666666664</v>
      </c>
    </row>
    <row r="9" spans="1:11">
      <c r="A9" s="1">
        <v>1008</v>
      </c>
      <c r="B9" s="1" t="s">
        <v>22</v>
      </c>
      <c r="C9" s="1" t="s">
        <v>23</v>
      </c>
      <c r="D9" s="1" t="s">
        <v>10</v>
      </c>
      <c r="E9" s="1" t="s">
        <v>11</v>
      </c>
      <c r="F9" s="1">
        <v>1</v>
      </c>
      <c r="G9" s="1">
        <v>45000</v>
      </c>
      <c r="H9" s="1" t="s">
        <v>20</v>
      </c>
      <c r="I9"/>
      <c r="J9"/>
    </row>
    <row r="10" spans="1:11">
      <c r="A10" s="1">
        <v>1009</v>
      </c>
      <c r="B10" s="1" t="s">
        <v>8</v>
      </c>
      <c r="C10" s="1" t="s">
        <v>9</v>
      </c>
      <c r="D10" s="1" t="s">
        <v>24</v>
      </c>
      <c r="E10" s="1" t="s">
        <v>16</v>
      </c>
      <c r="F10" s="1">
        <v>4</v>
      </c>
      <c r="G10" s="1">
        <v>6000</v>
      </c>
      <c r="H10" s="1" t="s">
        <v>12</v>
      </c>
      <c r="I10"/>
      <c r="J10"/>
    </row>
    <row r="11" spans="1:11">
      <c r="A11" s="1">
        <v>1010</v>
      </c>
      <c r="B11" s="1" t="s">
        <v>13</v>
      </c>
      <c r="C11" s="1" t="s">
        <v>14</v>
      </c>
      <c r="D11" s="1" t="s">
        <v>26</v>
      </c>
      <c r="E11" s="1" t="s">
        <v>11</v>
      </c>
      <c r="F11" s="1">
        <v>2</v>
      </c>
      <c r="G11" s="1">
        <v>24000</v>
      </c>
      <c r="H11" s="1" t="s">
        <v>20</v>
      </c>
      <c r="I11"/>
      <c r="J11"/>
    </row>
    <row r="12" spans="1:11">
      <c r="A12" s="1">
        <v>1011</v>
      </c>
      <c r="B12" s="1" t="s">
        <v>18</v>
      </c>
      <c r="C12" s="1" t="s">
        <v>19</v>
      </c>
      <c r="D12" s="1" t="s">
        <v>10</v>
      </c>
      <c r="E12" s="1" t="s">
        <v>11</v>
      </c>
      <c r="F12" s="1">
        <v>3</v>
      </c>
      <c r="G12" s="1">
        <v>135000</v>
      </c>
      <c r="H12" s="1" t="s">
        <v>12</v>
      </c>
      <c r="I12"/>
      <c r="J12"/>
    </row>
    <row r="13" spans="1:11">
      <c r="A13" s="1">
        <v>1012</v>
      </c>
      <c r="B13" s="1" t="s">
        <v>22</v>
      </c>
      <c r="C13" s="1" t="s">
        <v>23</v>
      </c>
      <c r="D13" s="1" t="s">
        <v>15</v>
      </c>
      <c r="E13" s="1" t="s">
        <v>16</v>
      </c>
      <c r="F13" s="1">
        <v>12</v>
      </c>
      <c r="G13" s="1">
        <v>6000</v>
      </c>
      <c r="H13" s="1" t="s">
        <v>12</v>
      </c>
      <c r="I13"/>
      <c r="J13"/>
    </row>
    <row r="14" spans="1:11">
      <c r="A14" s="1">
        <v>1013</v>
      </c>
      <c r="B14" s="1" t="s">
        <v>8</v>
      </c>
      <c r="C14" s="1" t="s">
        <v>9</v>
      </c>
      <c r="D14" s="1" t="s">
        <v>10</v>
      </c>
      <c r="E14" s="1" t="s">
        <v>11</v>
      </c>
      <c r="F14" s="1">
        <v>1</v>
      </c>
      <c r="G14" s="1">
        <v>45000</v>
      </c>
      <c r="H14" s="1" t="s">
        <v>12</v>
      </c>
      <c r="I14"/>
      <c r="J14"/>
    </row>
    <row r="15" spans="1:11">
      <c r="A15" s="1">
        <v>1014</v>
      </c>
      <c r="B15" s="1" t="s">
        <v>13</v>
      </c>
      <c r="C15" s="1" t="s">
        <v>14</v>
      </c>
      <c r="D15" s="1" t="s">
        <v>24</v>
      </c>
      <c r="E15" s="1" t="s">
        <v>16</v>
      </c>
      <c r="F15" s="1">
        <v>6</v>
      </c>
      <c r="G15" s="1">
        <v>9000</v>
      </c>
      <c r="H15" s="1" t="s">
        <v>20</v>
      </c>
      <c r="I15"/>
      <c r="J15"/>
    </row>
    <row r="16" spans="1:11">
      <c r="A16" s="1">
        <v>1015</v>
      </c>
      <c r="B16" s="1" t="s">
        <v>18</v>
      </c>
      <c r="C16" s="1" t="s">
        <v>19</v>
      </c>
      <c r="D16" s="1" t="s">
        <v>26</v>
      </c>
      <c r="E16" s="1" t="s">
        <v>11</v>
      </c>
      <c r="F16" s="1">
        <v>2</v>
      </c>
      <c r="G16" s="1">
        <v>24000</v>
      </c>
      <c r="H16" s="1" t="s">
        <v>12</v>
      </c>
      <c r="I16"/>
      <c r="J16"/>
    </row>
    <row r="17" spans="1:10">
      <c r="A17" s="1">
        <v>1016</v>
      </c>
      <c r="B17" s="1" t="s">
        <v>22</v>
      </c>
      <c r="C17" s="1" t="s">
        <v>23</v>
      </c>
      <c r="D17" s="1" t="s">
        <v>10</v>
      </c>
      <c r="E17" s="1" t="s">
        <v>11</v>
      </c>
      <c r="F17" s="1">
        <v>2</v>
      </c>
      <c r="G17" s="1">
        <v>90000</v>
      </c>
      <c r="H17" s="1" t="s">
        <v>12</v>
      </c>
      <c r="I17"/>
      <c r="J17"/>
    </row>
    <row r="18" spans="1:10">
      <c r="A18" s="1">
        <v>1017</v>
      </c>
      <c r="B18" s="1" t="s">
        <v>8</v>
      </c>
      <c r="C18" s="1" t="s">
        <v>9</v>
      </c>
      <c r="D18" s="1" t="s">
        <v>15</v>
      </c>
      <c r="E18" s="1" t="s">
        <v>16</v>
      </c>
      <c r="F18" s="1">
        <v>15</v>
      </c>
      <c r="G18" s="1">
        <v>7500</v>
      </c>
      <c r="H18" s="1" t="s">
        <v>20</v>
      </c>
      <c r="I18"/>
      <c r="J18"/>
    </row>
    <row r="19" spans="1:10">
      <c r="A19" s="1">
        <v>1018</v>
      </c>
      <c r="B19" s="1" t="s">
        <v>13</v>
      </c>
      <c r="C19" s="1" t="s">
        <v>14</v>
      </c>
      <c r="D19" s="1" t="s">
        <v>10</v>
      </c>
      <c r="E19" s="1" t="s">
        <v>11</v>
      </c>
      <c r="F19" s="1">
        <v>1</v>
      </c>
      <c r="G19" s="1">
        <v>45000</v>
      </c>
      <c r="H19" s="1" t="s">
        <v>12</v>
      </c>
      <c r="I19"/>
      <c r="J19"/>
    </row>
    <row r="20" spans="1:10">
      <c r="A20" s="1">
        <v>1019</v>
      </c>
      <c r="B20" s="1" t="s">
        <v>18</v>
      </c>
      <c r="C20" s="1" t="s">
        <v>19</v>
      </c>
      <c r="D20" s="1" t="s">
        <v>24</v>
      </c>
      <c r="E20" s="1" t="s">
        <v>16</v>
      </c>
      <c r="F20" s="1">
        <v>3</v>
      </c>
      <c r="G20" s="1">
        <v>4500</v>
      </c>
      <c r="H20" s="1" t="s">
        <v>20</v>
      </c>
      <c r="I20"/>
      <c r="J20"/>
    </row>
    <row r="21" spans="1:10">
      <c r="A21" s="1">
        <v>1020</v>
      </c>
      <c r="B21" s="1" t="s">
        <v>22</v>
      </c>
      <c r="C21" s="1" t="s">
        <v>23</v>
      </c>
      <c r="D21" s="1" t="s">
        <v>26</v>
      </c>
      <c r="E21" s="1" t="s">
        <v>11</v>
      </c>
      <c r="F21" s="1">
        <v>4</v>
      </c>
      <c r="G21" s="1">
        <v>48000</v>
      </c>
      <c r="H21" s="1" t="s">
        <v>12</v>
      </c>
      <c r="I21"/>
      <c r="J21"/>
    </row>
    <row r="22" spans="1:10">
      <c r="A22"/>
      <c r="B22"/>
      <c r="C22"/>
      <c r="D22"/>
      <c r="E22"/>
      <c r="F22"/>
      <c r="G22"/>
      <c r="H22"/>
      <c r="I22"/>
      <c r="J22"/>
    </row>
    <row r="23" spans="1:10">
      <c r="A23"/>
      <c r="B23"/>
      <c r="C23"/>
      <c r="D23"/>
      <c r="E23"/>
      <c r="F23"/>
      <c r="G23"/>
      <c r="H23"/>
      <c r="I23"/>
      <c r="J23"/>
    </row>
    <row r="24" spans="1:10">
      <c r="A24"/>
      <c r="B24"/>
      <c r="C24"/>
      <c r="D24"/>
      <c r="E24"/>
      <c r="F24"/>
      <c r="G24"/>
      <c r="H24"/>
      <c r="I24"/>
      <c r="J24"/>
    </row>
    <row r="25" spans="1:10">
      <c r="A25"/>
      <c r="B25"/>
      <c r="C25"/>
      <c r="D25"/>
      <c r="E25"/>
      <c r="F25"/>
      <c r="G25"/>
      <c r="H25"/>
      <c r="I25"/>
      <c r="J25"/>
    </row>
    <row r="26" spans="1:10">
      <c r="A26"/>
      <c r="B26"/>
      <c r="C26"/>
      <c r="D26"/>
      <c r="E26"/>
      <c r="F26"/>
      <c r="G26"/>
      <c r="H26"/>
      <c r="I26"/>
      <c r="J26"/>
    </row>
    <row r="27" spans="1:10">
      <c r="A27"/>
      <c r="B27"/>
      <c r="C27"/>
      <c r="D27"/>
      <c r="E27"/>
      <c r="F27"/>
      <c r="G27"/>
      <c r="H27"/>
      <c r="I27"/>
      <c r="J27"/>
    </row>
    <row r="28" spans="1:10">
      <c r="A28"/>
      <c r="B28"/>
      <c r="C28"/>
      <c r="D28"/>
      <c r="E28"/>
      <c r="F28"/>
      <c r="G28"/>
      <c r="H28"/>
      <c r="I28"/>
      <c r="J28"/>
    </row>
    <row r="29" spans="1:10">
      <c r="A29"/>
      <c r="B29"/>
      <c r="C29"/>
      <c r="D29"/>
      <c r="E29"/>
      <c r="F29"/>
      <c r="G29"/>
      <c r="H29"/>
      <c r="I29"/>
      <c r="J29"/>
    </row>
    <row r="30" spans="1:10">
      <c r="A30"/>
      <c r="B30"/>
      <c r="C30"/>
      <c r="D30"/>
      <c r="E30"/>
      <c r="F30"/>
      <c r="G30"/>
      <c r="H30"/>
      <c r="I30"/>
      <c r="J30"/>
    </row>
    <row r="31" spans="1:10">
      <c r="A31"/>
      <c r="B31"/>
      <c r="C31"/>
      <c r="D31"/>
      <c r="E31"/>
      <c r="F31"/>
      <c r="G31"/>
      <c r="H31"/>
      <c r="I31"/>
      <c r="J3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"/>
  <sheetViews>
    <sheetView workbookViewId="0">
      <selection activeCell="J6" sqref="J6"/>
    </sheetView>
  </sheetViews>
  <sheetFormatPr defaultRowHeight="15"/>
  <cols>
    <col min="1" max="10" width="14" style="1" customWidth="1"/>
  </cols>
  <sheetData>
    <row r="1" spans="1:10" ht="24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/>
      <c r="J1"/>
    </row>
    <row r="2" spans="1:10">
      <c r="A2" s="1">
        <v>1001</v>
      </c>
      <c r="B2" s="1" t="s">
        <v>8</v>
      </c>
      <c r="C2" s="1" t="s">
        <v>9</v>
      </c>
      <c r="D2" s="1" t="s">
        <v>10</v>
      </c>
      <c r="E2" s="1" t="s">
        <v>11</v>
      </c>
      <c r="F2" s="1">
        <v>2</v>
      </c>
      <c r="G2" s="1">
        <v>90000</v>
      </c>
      <c r="H2" s="1" t="s">
        <v>12</v>
      </c>
      <c r="I2"/>
      <c r="J2"/>
    </row>
    <row r="3" spans="1:10">
      <c r="A3" s="1">
        <v>1002</v>
      </c>
      <c r="B3" s="1" t="s">
        <v>13</v>
      </c>
      <c r="C3" s="1" t="s">
        <v>14</v>
      </c>
      <c r="D3" s="1" t="s">
        <v>15</v>
      </c>
      <c r="E3" s="1" t="s">
        <v>16</v>
      </c>
      <c r="F3" s="1">
        <v>10</v>
      </c>
      <c r="G3" s="1">
        <v>5000</v>
      </c>
      <c r="H3" s="1" t="s">
        <v>12</v>
      </c>
      <c r="I3"/>
      <c r="J3"/>
    </row>
    <row r="4" spans="1:10">
      <c r="A4" s="1">
        <v>1003</v>
      </c>
      <c r="B4" s="1" t="s">
        <v>18</v>
      </c>
      <c r="C4" s="1" t="s">
        <v>19</v>
      </c>
      <c r="D4" s="1" t="s">
        <v>10</v>
      </c>
      <c r="E4" s="1" t="s">
        <v>11</v>
      </c>
      <c r="F4" s="1">
        <v>1</v>
      </c>
      <c r="G4" s="1">
        <v>45000</v>
      </c>
      <c r="H4" s="1" t="s">
        <v>20</v>
      </c>
      <c r="I4"/>
      <c r="J4"/>
    </row>
    <row r="5" spans="1:10">
      <c r="A5" s="1">
        <v>1004</v>
      </c>
      <c r="B5" s="1" t="s">
        <v>22</v>
      </c>
      <c r="C5" s="1" t="s">
        <v>23</v>
      </c>
      <c r="D5" s="1" t="s">
        <v>24</v>
      </c>
      <c r="E5" s="1" t="s">
        <v>16</v>
      </c>
      <c r="F5" s="1">
        <v>5</v>
      </c>
      <c r="G5" s="1">
        <v>7500</v>
      </c>
      <c r="H5" s="1" t="s">
        <v>12</v>
      </c>
      <c r="I5"/>
      <c r="J5"/>
    </row>
    <row r="6" spans="1:10">
      <c r="A6" s="1">
        <v>1005</v>
      </c>
      <c r="B6" s="1" t="s">
        <v>8</v>
      </c>
      <c r="C6" s="1" t="s">
        <v>9</v>
      </c>
      <c r="D6" s="1" t="s">
        <v>26</v>
      </c>
      <c r="E6" s="1" t="s">
        <v>11</v>
      </c>
      <c r="F6" s="1">
        <v>3</v>
      </c>
      <c r="G6" s="1">
        <v>36000</v>
      </c>
      <c r="H6" s="1" t="s">
        <v>20</v>
      </c>
      <c r="I6"/>
      <c r="J6"/>
    </row>
    <row r="7" spans="1:10">
      <c r="A7" s="1">
        <v>1006</v>
      </c>
      <c r="B7" s="1" t="s">
        <v>13</v>
      </c>
      <c r="C7" s="1" t="s">
        <v>14</v>
      </c>
      <c r="D7" s="1" t="s">
        <v>10</v>
      </c>
      <c r="E7" s="1" t="s">
        <v>11</v>
      </c>
      <c r="F7" s="1">
        <v>2</v>
      </c>
      <c r="G7" s="1">
        <v>90000</v>
      </c>
      <c r="H7" s="1" t="s">
        <v>12</v>
      </c>
      <c r="I7"/>
      <c r="J7"/>
    </row>
    <row r="8" spans="1:10">
      <c r="A8" s="1">
        <v>1007</v>
      </c>
      <c r="B8" s="1" t="s">
        <v>18</v>
      </c>
      <c r="C8" s="1" t="s">
        <v>19</v>
      </c>
      <c r="D8" s="1" t="s">
        <v>15</v>
      </c>
      <c r="E8" s="1" t="s">
        <v>16</v>
      </c>
      <c r="F8" s="1">
        <v>8</v>
      </c>
      <c r="G8" s="1">
        <v>4000</v>
      </c>
      <c r="H8" s="1" t="s">
        <v>12</v>
      </c>
      <c r="I8"/>
      <c r="J8"/>
    </row>
    <row r="9" spans="1:10">
      <c r="A9" s="1">
        <v>1008</v>
      </c>
      <c r="B9" s="1" t="s">
        <v>22</v>
      </c>
      <c r="C9" s="1" t="s">
        <v>23</v>
      </c>
      <c r="D9" s="1" t="s">
        <v>10</v>
      </c>
      <c r="E9" s="1" t="s">
        <v>11</v>
      </c>
      <c r="F9" s="1">
        <v>1</v>
      </c>
      <c r="G9" s="1">
        <v>45000</v>
      </c>
      <c r="H9" s="1" t="s">
        <v>20</v>
      </c>
      <c r="I9"/>
      <c r="J9"/>
    </row>
    <row r="10" spans="1:10">
      <c r="A10" s="1">
        <v>1009</v>
      </c>
      <c r="B10" s="1" t="s">
        <v>8</v>
      </c>
      <c r="C10" s="1" t="s">
        <v>9</v>
      </c>
      <c r="D10" s="1" t="s">
        <v>24</v>
      </c>
      <c r="E10" s="1" t="s">
        <v>16</v>
      </c>
      <c r="F10" s="1">
        <v>4</v>
      </c>
      <c r="G10" s="1">
        <v>6000</v>
      </c>
      <c r="H10" s="1" t="s">
        <v>12</v>
      </c>
      <c r="I10"/>
      <c r="J10"/>
    </row>
    <row r="11" spans="1:10">
      <c r="A11" s="1">
        <v>1010</v>
      </c>
      <c r="B11" s="1" t="s">
        <v>13</v>
      </c>
      <c r="C11" s="1" t="s">
        <v>14</v>
      </c>
      <c r="D11" s="1" t="s">
        <v>26</v>
      </c>
      <c r="E11" s="1" t="s">
        <v>11</v>
      </c>
      <c r="F11" s="1">
        <v>2</v>
      </c>
      <c r="G11" s="1">
        <v>24000</v>
      </c>
      <c r="H11" s="1" t="s">
        <v>20</v>
      </c>
      <c r="I11"/>
      <c r="J11"/>
    </row>
    <row r="12" spans="1:10">
      <c r="A12" s="1">
        <v>1011</v>
      </c>
      <c r="B12" s="1" t="s">
        <v>18</v>
      </c>
      <c r="C12" s="1" t="s">
        <v>19</v>
      </c>
      <c r="D12" s="1" t="s">
        <v>10</v>
      </c>
      <c r="E12" s="1" t="s">
        <v>11</v>
      </c>
      <c r="F12" s="1">
        <v>3</v>
      </c>
      <c r="G12" s="1">
        <v>135000</v>
      </c>
      <c r="H12" s="1" t="s">
        <v>12</v>
      </c>
      <c r="I12"/>
      <c r="J12"/>
    </row>
    <row r="13" spans="1:10">
      <c r="A13" s="1">
        <v>1012</v>
      </c>
      <c r="B13" s="1" t="s">
        <v>22</v>
      </c>
      <c r="C13" s="1" t="s">
        <v>23</v>
      </c>
      <c r="D13" s="1" t="s">
        <v>15</v>
      </c>
      <c r="E13" s="1" t="s">
        <v>16</v>
      </c>
      <c r="F13" s="1">
        <v>12</v>
      </c>
      <c r="G13" s="1">
        <v>6000</v>
      </c>
      <c r="H13" s="1" t="s">
        <v>12</v>
      </c>
      <c r="I13"/>
      <c r="J13"/>
    </row>
    <row r="14" spans="1:10">
      <c r="A14" s="1">
        <v>1013</v>
      </c>
      <c r="B14" s="1" t="s">
        <v>8</v>
      </c>
      <c r="C14" s="1" t="s">
        <v>9</v>
      </c>
      <c r="D14" s="1" t="s">
        <v>10</v>
      </c>
      <c r="E14" s="1" t="s">
        <v>11</v>
      </c>
      <c r="F14" s="1">
        <v>1</v>
      </c>
      <c r="G14" s="1">
        <v>45000</v>
      </c>
      <c r="H14" s="1" t="s">
        <v>12</v>
      </c>
      <c r="I14"/>
      <c r="J14"/>
    </row>
    <row r="15" spans="1:10">
      <c r="A15" s="1">
        <v>1014</v>
      </c>
      <c r="B15" s="1" t="s">
        <v>13</v>
      </c>
      <c r="C15" s="1" t="s">
        <v>14</v>
      </c>
      <c r="D15" s="1" t="s">
        <v>24</v>
      </c>
      <c r="E15" s="1" t="s">
        <v>16</v>
      </c>
      <c r="F15" s="1">
        <v>6</v>
      </c>
      <c r="G15" s="1">
        <v>9000</v>
      </c>
      <c r="H15" s="1" t="s">
        <v>20</v>
      </c>
      <c r="I15"/>
      <c r="J15"/>
    </row>
    <row r="16" spans="1:10">
      <c r="A16" s="1">
        <v>1015</v>
      </c>
      <c r="B16" s="1" t="s">
        <v>18</v>
      </c>
      <c r="C16" s="1" t="s">
        <v>19</v>
      </c>
      <c r="D16" s="1" t="s">
        <v>26</v>
      </c>
      <c r="E16" s="1" t="s">
        <v>11</v>
      </c>
      <c r="F16" s="1">
        <v>2</v>
      </c>
      <c r="G16" s="1">
        <v>24000</v>
      </c>
      <c r="H16" s="1" t="s">
        <v>12</v>
      </c>
      <c r="I16"/>
      <c r="J16"/>
    </row>
    <row r="17" spans="1:10">
      <c r="A17" s="1">
        <v>1016</v>
      </c>
      <c r="B17" s="1" t="s">
        <v>22</v>
      </c>
      <c r="C17" s="1" t="s">
        <v>23</v>
      </c>
      <c r="D17" s="1" t="s">
        <v>10</v>
      </c>
      <c r="E17" s="1" t="s">
        <v>11</v>
      </c>
      <c r="F17" s="1">
        <v>2</v>
      </c>
      <c r="G17" s="1">
        <v>90000</v>
      </c>
      <c r="H17" s="1" t="s">
        <v>12</v>
      </c>
      <c r="I17"/>
      <c r="J17"/>
    </row>
    <row r="18" spans="1:10">
      <c r="A18" s="1">
        <v>1017</v>
      </c>
      <c r="B18" s="1" t="s">
        <v>8</v>
      </c>
      <c r="C18" s="1" t="s">
        <v>9</v>
      </c>
      <c r="D18" s="1" t="s">
        <v>15</v>
      </c>
      <c r="E18" s="1" t="s">
        <v>16</v>
      </c>
      <c r="F18" s="1">
        <v>15</v>
      </c>
      <c r="G18" s="1">
        <v>7500</v>
      </c>
      <c r="H18" s="1" t="s">
        <v>20</v>
      </c>
      <c r="I18"/>
      <c r="J18"/>
    </row>
    <row r="19" spans="1:10">
      <c r="A19" s="1">
        <v>1018</v>
      </c>
      <c r="B19" s="1" t="s">
        <v>13</v>
      </c>
      <c r="C19" s="1" t="s">
        <v>14</v>
      </c>
      <c r="D19" s="1" t="s">
        <v>10</v>
      </c>
      <c r="E19" s="1" t="s">
        <v>11</v>
      </c>
      <c r="F19" s="1">
        <v>1</v>
      </c>
      <c r="G19" s="1">
        <v>45000</v>
      </c>
      <c r="H19" s="1" t="s">
        <v>12</v>
      </c>
      <c r="I19"/>
      <c r="J19"/>
    </row>
    <row r="20" spans="1:10">
      <c r="A20" s="1">
        <v>1019</v>
      </c>
      <c r="B20" s="1" t="s">
        <v>18</v>
      </c>
      <c r="C20" s="1" t="s">
        <v>19</v>
      </c>
      <c r="D20" s="1" t="s">
        <v>24</v>
      </c>
      <c r="E20" s="1" t="s">
        <v>16</v>
      </c>
      <c r="F20" s="1">
        <v>3</v>
      </c>
      <c r="G20" s="1">
        <v>4500</v>
      </c>
      <c r="H20" s="1" t="s">
        <v>20</v>
      </c>
      <c r="I20"/>
      <c r="J20"/>
    </row>
    <row r="21" spans="1:10">
      <c r="A21" s="1">
        <v>1020</v>
      </c>
      <c r="B21" s="1" t="s">
        <v>22</v>
      </c>
      <c r="C21" s="1" t="s">
        <v>23</v>
      </c>
      <c r="D21" s="1" t="s">
        <v>26</v>
      </c>
      <c r="E21" s="1" t="s">
        <v>11</v>
      </c>
      <c r="F21" s="1">
        <v>4</v>
      </c>
      <c r="G21" s="1">
        <v>48000</v>
      </c>
      <c r="H21" s="1" t="s">
        <v>12</v>
      </c>
      <c r="I21"/>
      <c r="J21"/>
    </row>
    <row r="22" spans="1:10">
      <c r="A22"/>
      <c r="B22"/>
      <c r="C22"/>
      <c r="D22"/>
      <c r="E22"/>
      <c r="F22"/>
      <c r="G22"/>
      <c r="H22"/>
      <c r="I22"/>
      <c r="J22"/>
    </row>
    <row r="23" spans="1:10">
      <c r="A23"/>
      <c r="B23"/>
      <c r="C23"/>
      <c r="D23"/>
      <c r="E23"/>
      <c r="F23"/>
      <c r="G23"/>
      <c r="H23"/>
      <c r="I23"/>
      <c r="J23"/>
    </row>
    <row r="24" spans="1:10">
      <c r="A24"/>
      <c r="B24"/>
      <c r="C24"/>
      <c r="D24"/>
      <c r="E24"/>
      <c r="F24"/>
      <c r="G24"/>
      <c r="H24"/>
      <c r="I24"/>
      <c r="J24"/>
    </row>
    <row r="25" spans="1:10">
      <c r="A25"/>
      <c r="B25"/>
      <c r="C25"/>
      <c r="D25"/>
      <c r="E25"/>
      <c r="F25"/>
      <c r="G25"/>
      <c r="H25"/>
      <c r="I25"/>
      <c r="J25"/>
    </row>
    <row r="26" spans="1:10">
      <c r="A26"/>
      <c r="B26"/>
      <c r="C26"/>
      <c r="D26"/>
      <c r="E26"/>
      <c r="F26"/>
      <c r="G26"/>
      <c r="H26"/>
      <c r="I26"/>
      <c r="J26"/>
    </row>
    <row r="27" spans="1:10">
      <c r="A27"/>
      <c r="B27"/>
      <c r="C27"/>
      <c r="D27"/>
      <c r="E27"/>
      <c r="F27"/>
      <c r="G27"/>
      <c r="H27"/>
      <c r="I27"/>
      <c r="J27"/>
    </row>
    <row r="28" spans="1:10">
      <c r="A28"/>
      <c r="B28"/>
      <c r="C28"/>
      <c r="D28"/>
      <c r="E28"/>
      <c r="F28"/>
      <c r="G28"/>
      <c r="H28"/>
      <c r="I28"/>
      <c r="J28"/>
    </row>
    <row r="29" spans="1:10">
      <c r="A29"/>
      <c r="B29"/>
      <c r="C29"/>
      <c r="D29"/>
      <c r="E29"/>
      <c r="F29"/>
      <c r="G29"/>
      <c r="H29"/>
      <c r="I29"/>
      <c r="J29"/>
    </row>
    <row r="30" spans="1:10">
      <c r="A30"/>
      <c r="B30"/>
      <c r="C30"/>
      <c r="D30"/>
      <c r="E30"/>
      <c r="F30"/>
      <c r="G30"/>
      <c r="H30"/>
      <c r="I30"/>
      <c r="J30"/>
    </row>
    <row r="31" spans="1:10">
      <c r="A31"/>
      <c r="B31"/>
      <c r="C31"/>
      <c r="D31"/>
      <c r="E31"/>
      <c r="F31"/>
      <c r="G31"/>
      <c r="H31"/>
      <c r="I31"/>
      <c r="J3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2026-10-19T17:10:48Z</dcterms:created>
  <dcterms:modified xsi:type="dcterms:W3CDTF">2026-10-19T18:02:56Z</dcterms:modified>
  <cp:category/>
  <cp:contentStatus/>
</cp:coreProperties>
</file>