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030C700C-1647-45B7-BB65-636E8F352A6E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VLOOKUP" sheetId="1" r:id="rId1"/>
    <sheet name="HLOOKUP" sheetId="2" r:id="rId2"/>
    <sheet name="LOOKU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3" l="1"/>
  <c r="G4" i="3"/>
  <c r="G3" i="3"/>
  <c r="E9" i="2"/>
  <c r="E8" i="2"/>
  <c r="E7" i="2"/>
  <c r="G6" i="1"/>
  <c r="G5" i="1"/>
  <c r="G4" i="1"/>
</calcChain>
</file>

<file path=xl/sharedStrings.xml><?xml version="1.0" encoding="utf-8"?>
<sst xmlns="http://schemas.openxmlformats.org/spreadsheetml/2006/main" count="71" uniqueCount="25">
  <si>
    <t>EmployeeID</t>
  </si>
  <si>
    <t>EmployeeName</t>
  </si>
  <si>
    <t>Department</t>
  </si>
  <si>
    <t>Salary</t>
  </si>
  <si>
    <t>Rahul</t>
  </si>
  <si>
    <t>Sales</t>
  </si>
  <si>
    <t xml:space="preserve">EMP ID </t>
  </si>
  <si>
    <t>Priya</t>
  </si>
  <si>
    <t>HR</t>
  </si>
  <si>
    <t>Amit</t>
  </si>
  <si>
    <t>IT</t>
  </si>
  <si>
    <t>Emp Name</t>
  </si>
  <si>
    <t>Sneha</t>
  </si>
  <si>
    <t>Finance</t>
  </si>
  <si>
    <t xml:space="preserve">EMP Salary </t>
  </si>
  <si>
    <t>Karan</t>
  </si>
  <si>
    <t>Marketing</t>
  </si>
  <si>
    <t>EMP Department</t>
  </si>
  <si>
    <t>Neha</t>
  </si>
  <si>
    <t>Arjun</t>
  </si>
  <si>
    <t>Meera</t>
  </si>
  <si>
    <t>EMP Name</t>
  </si>
  <si>
    <t>EMP Salary</t>
  </si>
  <si>
    <t xml:space="preserve">EMP Department 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</si>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</sst>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I9" sqref="I9"/>
    </sheetView>
  </sheetViews>
  <sheetFormatPr defaultRowHeight="15"/>
  <cols>
    <col min="1" max="1" width="12.7109375" customWidth="1"/>
    <col min="2" max="2" width="15.140625" bestFit="1" customWidth="1"/>
    <col min="3" max="4" width="12.7109375" customWidth="1"/>
    <col min="6" max="6" width="16.42578125" bestFit="1" customWidth="1"/>
  </cols>
  <sheetData>
    <row r="1" spans="1:11" ht="20.2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11">
      <c r="A2" s="2">
        <v>101</v>
      </c>
      <c r="B2" s="2" t="s">
        <v>4</v>
      </c>
      <c r="C2" s="2" t="s">
        <v>5</v>
      </c>
      <c r="D2" s="2">
        <v>30000</v>
      </c>
      <c r="J2" t="s">
        <v>6</v>
      </c>
      <c r="K2">
        <v>104</v>
      </c>
    </row>
    <row r="3" spans="1:11">
      <c r="A3" s="2">
        <v>102</v>
      </c>
      <c r="B3" s="2" t="s">
        <v>7</v>
      </c>
      <c r="C3" s="2" t="s">
        <v>8</v>
      </c>
      <c r="D3" s="2">
        <v>35000</v>
      </c>
    </row>
    <row r="4" spans="1:11">
      <c r="A4" s="2">
        <v>103</v>
      </c>
      <c r="B4" s="2" t="s">
        <v>9</v>
      </c>
      <c r="C4" s="2" t="s">
        <v>10</v>
      </c>
      <c r="D4" s="2">
        <v>40000</v>
      </c>
      <c r="F4" s="2" t="s">
        <v>11</v>
      </c>
      <c r="G4" s="2" t="str">
        <f>VLOOKUP(K2,A1:D9,2,FALSE)</f>
        <v>Sneha</v>
      </c>
    </row>
    <row r="5" spans="1:11">
      <c r="A5" s="2">
        <v>104</v>
      </c>
      <c r="B5" s="2" t="s">
        <v>12</v>
      </c>
      <c r="C5" s="2" t="s">
        <v>13</v>
      </c>
      <c r="D5" s="2">
        <v>45000</v>
      </c>
      <c r="F5" s="2" t="s">
        <v>14</v>
      </c>
      <c r="G5" s="2">
        <f>VLOOKUP(K2,A1:D9,4,FALSE)</f>
        <v>45000</v>
      </c>
    </row>
    <row r="6" spans="1:11">
      <c r="A6" s="2">
        <v>105</v>
      </c>
      <c r="B6" s="2" t="s">
        <v>15</v>
      </c>
      <c r="C6" s="2" t="s">
        <v>16</v>
      </c>
      <c r="D6" s="2">
        <v>32000</v>
      </c>
      <c r="F6" s="2" t="s">
        <v>17</v>
      </c>
      <c r="G6" s="2" t="str">
        <f>VLOOKUP(K2,A1:D9,3,FALSE)</f>
        <v>Finance</v>
      </c>
    </row>
    <row r="7" spans="1:11">
      <c r="A7" s="2">
        <v>106</v>
      </c>
      <c r="B7" s="2" t="s">
        <v>18</v>
      </c>
      <c r="C7" s="2" t="s">
        <v>5</v>
      </c>
      <c r="D7" s="2">
        <v>38000</v>
      </c>
    </row>
    <row r="8" spans="1:11">
      <c r="A8" s="2">
        <v>107</v>
      </c>
      <c r="B8" s="2" t="s">
        <v>19</v>
      </c>
      <c r="C8" s="2" t="s">
        <v>10</v>
      </c>
      <c r="D8" s="2">
        <v>42000</v>
      </c>
    </row>
    <row r="9" spans="1:11">
      <c r="A9" s="2">
        <v>108</v>
      </c>
      <c r="B9" s="2" t="s">
        <v>20</v>
      </c>
      <c r="C9" s="2" t="s">
        <v>8</v>
      </c>
      <c r="D9" s="2">
        <v>36000</v>
      </c>
    </row>
  </sheetData>
  <dataValidations count="1">
    <dataValidation type="list" allowBlank="1" showInputMessage="1" showErrorMessage="1" sqref="K2" xr:uid="{43ECC8C5-4C4C-4CDA-96A3-2B57563568A0}">
      <formula1>$A$1:$A$9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4065-F120-4EB0-91D6-B2E52D012E26}">
  <dimension ref="A1:I9"/>
  <sheetViews>
    <sheetView workbookViewId="0">
      <selection activeCell="H12" sqref="H12"/>
    </sheetView>
  </sheetViews>
  <sheetFormatPr defaultRowHeight="15"/>
  <cols>
    <col min="1" max="9" width="17.140625" style="2" customWidth="1"/>
  </cols>
  <sheetData>
    <row r="1" spans="1:9">
      <c r="A1" s="2" t="s">
        <v>0</v>
      </c>
      <c r="B1" s="2">
        <v>101</v>
      </c>
      <c r="C1" s="2">
        <v>102</v>
      </c>
      <c r="D1" s="2">
        <v>103</v>
      </c>
      <c r="E1" s="2">
        <v>104</v>
      </c>
      <c r="F1" s="2">
        <v>105</v>
      </c>
      <c r="G1" s="2">
        <v>106</v>
      </c>
      <c r="H1" s="2">
        <v>107</v>
      </c>
      <c r="I1" s="2">
        <v>108</v>
      </c>
    </row>
    <row r="2" spans="1:9">
      <c r="A2" s="2" t="s">
        <v>1</v>
      </c>
      <c r="B2" s="2" t="s">
        <v>4</v>
      </c>
      <c r="C2" s="2" t="s">
        <v>7</v>
      </c>
      <c r="D2" s="2" t="s">
        <v>9</v>
      </c>
      <c r="E2" s="2" t="s">
        <v>12</v>
      </c>
      <c r="F2" s="2" t="s">
        <v>15</v>
      </c>
      <c r="G2" s="2" t="s">
        <v>18</v>
      </c>
      <c r="H2" s="2" t="s">
        <v>19</v>
      </c>
      <c r="I2" s="2" t="s">
        <v>20</v>
      </c>
    </row>
    <row r="3" spans="1:9">
      <c r="A3" s="2" t="s">
        <v>2</v>
      </c>
      <c r="B3" s="2" t="s">
        <v>5</v>
      </c>
      <c r="C3" s="2" t="s">
        <v>8</v>
      </c>
      <c r="D3" s="2" t="s">
        <v>10</v>
      </c>
      <c r="E3" s="2" t="s">
        <v>13</v>
      </c>
      <c r="F3" s="2" t="s">
        <v>16</v>
      </c>
      <c r="G3" s="2" t="s">
        <v>5</v>
      </c>
      <c r="H3" s="2" t="s">
        <v>10</v>
      </c>
      <c r="I3" s="2" t="s">
        <v>8</v>
      </c>
    </row>
    <row r="4" spans="1:9">
      <c r="A4" s="2" t="s">
        <v>3</v>
      </c>
      <c r="B4" s="2">
        <v>30000</v>
      </c>
      <c r="C4" s="2">
        <v>35000</v>
      </c>
      <c r="D4" s="2">
        <v>40000</v>
      </c>
      <c r="E4" s="2">
        <v>45000</v>
      </c>
      <c r="F4" s="2">
        <v>32000</v>
      </c>
      <c r="G4" s="2">
        <v>38000</v>
      </c>
      <c r="H4" s="2">
        <v>42000</v>
      </c>
      <c r="I4" s="2">
        <v>36000</v>
      </c>
    </row>
    <row r="7" spans="1:9">
      <c r="B7" s="2">
        <v>101</v>
      </c>
      <c r="D7" s="2" t="s">
        <v>21</v>
      </c>
      <c r="E7" s="2" t="str">
        <f>HLOOKUP(B7,A1:I4,2,FALSE)</f>
        <v>Rahul</v>
      </c>
    </row>
    <row r="8" spans="1:9">
      <c r="D8" s="2" t="s">
        <v>22</v>
      </c>
      <c r="E8" s="2">
        <f>HLOOKUP(B7,A1:I4,4,FALSE)</f>
        <v>30000</v>
      </c>
    </row>
    <row r="9" spans="1:9">
      <c r="D9" s="2" t="s">
        <v>23</v>
      </c>
      <c r="E9" s="2" t="str">
        <f>HLOOKUP(B7,A1:I4,3,FALSE)</f>
        <v>Sales</v>
      </c>
    </row>
  </sheetData>
  <dataValidations count="1">
    <dataValidation type="list" allowBlank="1" showInputMessage="1" showErrorMessage="1" sqref="B7" xr:uid="{CE5D19CB-A4DA-4513-9CFC-6552EBFFCAF0}">
      <formula1>$A$1:$I$1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ED8A-AABF-4D58-82E6-A42F37EBDCAE}">
  <dimension ref="A1:J9"/>
  <sheetViews>
    <sheetView tabSelected="1" workbookViewId="0">
      <selection activeCell="G12" sqref="G12"/>
    </sheetView>
  </sheetViews>
  <sheetFormatPr defaultRowHeight="15"/>
  <cols>
    <col min="1" max="4" width="16.85546875" style="2" customWidth="1"/>
    <col min="6" max="6" width="16.425781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</row>
    <row r="2" spans="1:10">
      <c r="A2" s="2">
        <v>101</v>
      </c>
      <c r="B2" s="2" t="s">
        <v>4</v>
      </c>
      <c r="C2" s="2" t="s">
        <v>5</v>
      </c>
      <c r="D2" s="2">
        <v>30000</v>
      </c>
      <c r="I2" t="s">
        <v>24</v>
      </c>
      <c r="J2">
        <v>101</v>
      </c>
    </row>
    <row r="3" spans="1:10">
      <c r="A3" s="2">
        <v>102</v>
      </c>
      <c r="B3" s="2" t="s">
        <v>7</v>
      </c>
      <c r="C3" s="2" t="s">
        <v>8</v>
      </c>
      <c r="D3" s="2">
        <v>35000</v>
      </c>
      <c r="F3" s="1" t="s">
        <v>21</v>
      </c>
      <c r="G3" s="1" t="str">
        <f>LOOKUP(J2,A2:A9,B2:B9)</f>
        <v>Rahul</v>
      </c>
    </row>
    <row r="4" spans="1:10">
      <c r="A4" s="2">
        <v>103</v>
      </c>
      <c r="B4" s="2" t="s">
        <v>9</v>
      </c>
      <c r="C4" s="2" t="s">
        <v>10</v>
      </c>
      <c r="D4" s="2">
        <v>40000</v>
      </c>
      <c r="F4" s="1" t="s">
        <v>22</v>
      </c>
      <c r="G4" s="1">
        <f>LOOKUP(J2,A2:A9,D2:D9)</f>
        <v>30000</v>
      </c>
    </row>
    <row r="5" spans="1:10">
      <c r="A5" s="2">
        <v>104</v>
      </c>
      <c r="B5" s="2" t="s">
        <v>12</v>
      </c>
      <c r="C5" s="2" t="s">
        <v>13</v>
      </c>
      <c r="D5" s="2">
        <v>45000</v>
      </c>
      <c r="F5" s="1" t="s">
        <v>17</v>
      </c>
      <c r="G5" s="1" t="str">
        <f>LOOKUP(J2,A2:A9,C2:C9)</f>
        <v>Sales</v>
      </c>
    </row>
    <row r="6" spans="1:10">
      <c r="A6" s="2">
        <v>105</v>
      </c>
      <c r="B6" s="2" t="s">
        <v>15</v>
      </c>
      <c r="C6" s="2" t="s">
        <v>16</v>
      </c>
      <c r="D6" s="2">
        <v>32000</v>
      </c>
    </row>
    <row r="7" spans="1:10">
      <c r="A7" s="2">
        <v>106</v>
      </c>
      <c r="B7" s="2" t="s">
        <v>18</v>
      </c>
      <c r="C7" s="2" t="s">
        <v>5</v>
      </c>
      <c r="D7" s="2">
        <v>38000</v>
      </c>
    </row>
    <row r="8" spans="1:10">
      <c r="A8" s="2">
        <v>107</v>
      </c>
      <c r="B8" s="2" t="s">
        <v>19</v>
      </c>
      <c r="C8" s="2" t="s">
        <v>10</v>
      </c>
      <c r="D8" s="2">
        <v>42000</v>
      </c>
    </row>
    <row r="9" spans="1:10">
      <c r="A9" s="2">
        <v>108</v>
      </c>
      <c r="B9" s="2" t="s">
        <v>20</v>
      </c>
      <c r="C9" s="2" t="s">
        <v>8</v>
      </c>
      <c r="D9" s="2">
        <v>36000</v>
      </c>
    </row>
  </sheetData>
  <dataValidations count="1">
    <dataValidation type="list" allowBlank="1" showInputMessage="1" showErrorMessage="1" sqref="J2" xr:uid="{FCAFA07D-E1A2-400D-A043-19EFADD637E0}">
      <formula1>$A$1:$A$9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2026-10-20T12:35:10Z</dcterms:created>
  <dcterms:modified xsi:type="dcterms:W3CDTF">2026-10-20T12:50:30Z</dcterms:modified>
  <cp:category/>
  <cp:contentStatus/>
</cp:coreProperties>
</file>