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12225590-0802-4E89-BF43-8AD7FBF97FF1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Raw" sheetId="3" r:id="rId1"/>
    <sheet name="COUNTA" sheetId="4" r:id="rId2"/>
    <sheet name=" COUNTA BLANK" sheetId="1" r:id="rId3"/>
    <sheet name="AVERAGE" sheetId="5" r:id="rId4"/>
    <sheet name="SUBTOTAL" sheetId="6" r:id="rId5"/>
    <sheet name="SUM PRODUC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7" l="1"/>
  <c r="G6" i="7"/>
  <c r="G5" i="7"/>
  <c r="G4" i="7"/>
  <c r="G3" i="7"/>
  <c r="G8" i="6"/>
  <c r="G7" i="6"/>
  <c r="G6" i="6"/>
  <c r="G5" i="6"/>
  <c r="G4" i="6"/>
  <c r="H5" i="5"/>
  <c r="H4" i="5"/>
  <c r="I5" i="1"/>
  <c r="I4" i="1"/>
  <c r="I3" i="1"/>
  <c r="I7" i="4"/>
  <c r="I6" i="4"/>
  <c r="I5" i="4"/>
  <c r="I4" i="4"/>
  <c r="I3" i="4"/>
</calcChain>
</file>

<file path=xl/sharedStrings.xml><?xml version="1.0" encoding="utf-8"?>
<sst xmlns="http://schemas.openxmlformats.org/spreadsheetml/2006/main" count="180" uniqueCount="67">
  <si>
    <t>EmployeeID</t>
  </si>
  <si>
    <t>EmployeeName</t>
  </si>
  <si>
    <t>Department</t>
  </si>
  <si>
    <t>Salary</t>
  </si>
  <si>
    <t>Email</t>
  </si>
  <si>
    <t>E101</t>
  </si>
  <si>
    <t>Rahul</t>
  </si>
  <si>
    <t>Sales</t>
  </si>
  <si>
    <t>rahul@example.com</t>
  </si>
  <si>
    <t>E102</t>
  </si>
  <si>
    <t>Priya</t>
  </si>
  <si>
    <t>HR</t>
  </si>
  <si>
    <t>priya@example.com</t>
  </si>
  <si>
    <t>E103</t>
  </si>
  <si>
    <t>Amit</t>
  </si>
  <si>
    <t>IT</t>
  </si>
  <si>
    <t>E104</t>
  </si>
  <si>
    <t>Sneha</t>
  </si>
  <si>
    <t>sneha@example.com</t>
  </si>
  <si>
    <t>E105</t>
  </si>
  <si>
    <t>Finance</t>
  </si>
  <si>
    <t>E106</t>
  </si>
  <si>
    <t>Karan</t>
  </si>
  <si>
    <t>karan@example.com</t>
  </si>
  <si>
    <t>E107</t>
  </si>
  <si>
    <t>Neha</t>
  </si>
  <si>
    <t>neha@example.com</t>
  </si>
  <si>
    <t>E108</t>
  </si>
  <si>
    <t>Arjun</t>
  </si>
  <si>
    <t>Count  the EMPID entered</t>
  </si>
  <si>
    <t>Count the Employee names entered</t>
  </si>
  <si>
    <t>Count the email address entered</t>
  </si>
  <si>
    <t>Count the department enteries</t>
  </si>
  <si>
    <t>Count all the non empty cells</t>
  </si>
  <si>
    <t>Blank in Email</t>
  </si>
  <si>
    <t>Blank in salary</t>
  </si>
  <si>
    <t>Blank in Name</t>
  </si>
  <si>
    <t>MonthlySales</t>
  </si>
  <si>
    <t>Avg of Salary</t>
  </si>
  <si>
    <t xml:space="preserve">Avg of salary first 5 </t>
  </si>
  <si>
    <t>Meera</t>
  </si>
  <si>
    <t>E109</t>
  </si>
  <si>
    <t>Rohan</t>
  </si>
  <si>
    <t>E110</t>
  </si>
  <si>
    <t>Pooja</t>
  </si>
  <si>
    <t>Employee</t>
  </si>
  <si>
    <t>Region</t>
  </si>
  <si>
    <t>North</t>
  </si>
  <si>
    <t>South</t>
  </si>
  <si>
    <t>Calculate the total sales.</t>
  </si>
  <si>
    <t>Calculate the average sales.</t>
  </si>
  <si>
    <t>Count the numerical sales entries.</t>
  </si>
  <si>
    <t>Find the maximum sales value.</t>
  </si>
  <si>
    <t>Find the minimum sales value.</t>
  </si>
  <si>
    <t>Product</t>
  </si>
  <si>
    <t>Quantity</t>
  </si>
  <si>
    <t>UnitPrice</t>
  </si>
  <si>
    <t>Laptop</t>
  </si>
  <si>
    <t>Mouse</t>
  </si>
  <si>
    <t>Calculate total revenue (Quantity × UnitPrice for all products).</t>
  </si>
  <si>
    <t>Keyboard</t>
  </si>
  <si>
    <t>Calculate total revenue for the first two products only.</t>
  </si>
  <si>
    <t>Monitor</t>
  </si>
  <si>
    <t>Calculate total revenue for Keyboard and Monitor only.</t>
  </si>
  <si>
    <t>Headphones</t>
  </si>
  <si>
    <t>Calculate the total quantity of all products multiplied by their unit prices, using SUMPRODUCT.</t>
  </si>
  <si>
    <t>Calculate total revenue excluding Laptop.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</si>
</sst>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762C-6611-4D4A-9FA7-07996D9C6454}">
  <dimension ref="A1:E9"/>
  <sheetViews>
    <sheetView workbookViewId="0">
      <selection activeCell="K2" sqref="K2"/>
    </sheetView>
  </sheetViews>
  <sheetFormatPr defaultRowHeight="15"/>
  <cols>
    <col min="1" max="1" width="11.5703125" bestFit="1" customWidth="1"/>
    <col min="2" max="2" width="15.140625" bestFit="1" customWidth="1"/>
    <col min="3" max="3" width="11.7109375" bestFit="1" customWidth="1"/>
    <col min="4" max="4" width="6.5703125" bestFit="1" customWidth="1"/>
    <col min="5" max="5" width="20.28515625" bestFit="1" customWidth="1"/>
    <col min="8" max="10" width="15.140625" customWidth="1"/>
  </cols>
  <sheetData>
    <row r="1" spans="1:5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>
        <v>30000</v>
      </c>
      <c r="E2" s="2" t="s">
        <v>8</v>
      </c>
    </row>
    <row r="3" spans="1:5">
      <c r="A3" s="2" t="s">
        <v>9</v>
      </c>
      <c r="B3" s="2" t="s">
        <v>10</v>
      </c>
      <c r="C3" s="2" t="s">
        <v>11</v>
      </c>
      <c r="D3" s="2">
        <v>35000</v>
      </c>
      <c r="E3" s="2" t="s">
        <v>12</v>
      </c>
    </row>
    <row r="4" spans="1:5">
      <c r="A4" s="2" t="s">
        <v>13</v>
      </c>
      <c r="B4" s="2" t="s">
        <v>14</v>
      </c>
      <c r="C4" s="2" t="s">
        <v>15</v>
      </c>
      <c r="D4" s="2">
        <v>40000</v>
      </c>
      <c r="E4" s="2"/>
    </row>
    <row r="5" spans="1:5">
      <c r="A5" s="2" t="s">
        <v>16</v>
      </c>
      <c r="B5" s="2" t="s">
        <v>17</v>
      </c>
      <c r="C5" s="2" t="s">
        <v>7</v>
      </c>
      <c r="D5" s="2">
        <v>32000</v>
      </c>
      <c r="E5" s="2" t="s">
        <v>18</v>
      </c>
    </row>
    <row r="6" spans="1:5">
      <c r="A6" s="2" t="s">
        <v>19</v>
      </c>
      <c r="B6" s="2"/>
      <c r="C6" s="2" t="s">
        <v>20</v>
      </c>
      <c r="D6" s="2">
        <v>45000</v>
      </c>
      <c r="E6" s="2"/>
    </row>
    <row r="7" spans="1:5">
      <c r="A7" s="2" t="s">
        <v>21</v>
      </c>
      <c r="B7" s="2" t="s">
        <v>22</v>
      </c>
      <c r="C7" s="2" t="s">
        <v>15</v>
      </c>
      <c r="D7" s="2"/>
      <c r="E7" s="2" t="s">
        <v>23</v>
      </c>
    </row>
    <row r="8" spans="1:5">
      <c r="A8" s="2" t="s">
        <v>24</v>
      </c>
      <c r="B8" s="2" t="s">
        <v>25</v>
      </c>
      <c r="C8" s="2" t="s">
        <v>11</v>
      </c>
      <c r="D8" s="2">
        <v>38000</v>
      </c>
      <c r="E8" s="2" t="s">
        <v>26</v>
      </c>
    </row>
    <row r="9" spans="1:5">
      <c r="A9" s="2" t="s">
        <v>27</v>
      </c>
      <c r="B9" s="2" t="s">
        <v>28</v>
      </c>
      <c r="C9" s="2" t="s">
        <v>20</v>
      </c>
      <c r="D9" s="2">
        <v>42000</v>
      </c>
      <c r="E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E922-1114-4732-870B-859D7DCD8DA5}">
  <dimension ref="A1:I9"/>
  <sheetViews>
    <sheetView workbookViewId="0">
      <selection activeCell="I3" sqref="I3"/>
    </sheetView>
  </sheetViews>
  <sheetFormatPr defaultRowHeight="15"/>
  <cols>
    <col min="1" max="1" width="11.5703125" bestFit="1" customWidth="1"/>
    <col min="2" max="2" width="15.140625" bestFit="1" customWidth="1"/>
    <col min="3" max="3" width="11.7109375" bestFit="1" customWidth="1"/>
    <col min="4" max="4" width="6.5703125" bestFit="1" customWidth="1"/>
    <col min="5" max="5" width="20.28515625" bestFit="1" customWidth="1"/>
    <col min="8" max="8" width="33.28515625" bestFit="1" customWidth="1"/>
  </cols>
  <sheetData>
    <row r="1" spans="1: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>
      <c r="A2" s="2" t="s">
        <v>5</v>
      </c>
      <c r="B2" s="2" t="s">
        <v>6</v>
      </c>
      <c r="C2" s="2" t="s">
        <v>7</v>
      </c>
      <c r="D2" s="2">
        <v>30000</v>
      </c>
      <c r="E2" s="2" t="s">
        <v>8</v>
      </c>
    </row>
    <row r="3" spans="1:9">
      <c r="A3" s="2" t="s">
        <v>9</v>
      </c>
      <c r="B3" s="2" t="s">
        <v>10</v>
      </c>
      <c r="C3" s="2" t="s">
        <v>11</v>
      </c>
      <c r="D3" s="2">
        <v>35000</v>
      </c>
      <c r="E3" s="2" t="s">
        <v>12</v>
      </c>
      <c r="H3" t="s">
        <v>29</v>
      </c>
      <c r="I3">
        <f>COUNTA(A2:A9)</f>
        <v>8</v>
      </c>
    </row>
    <row r="4" spans="1:9">
      <c r="A4" s="2" t="s">
        <v>13</v>
      </c>
      <c r="B4" s="2" t="s">
        <v>14</v>
      </c>
      <c r="C4" s="2" t="s">
        <v>15</v>
      </c>
      <c r="D4" s="2">
        <v>40000</v>
      </c>
      <c r="E4" s="2"/>
      <c r="H4" t="s">
        <v>30</v>
      </c>
      <c r="I4">
        <f>COUNTA(B2:B9)</f>
        <v>7</v>
      </c>
    </row>
    <row r="5" spans="1:9">
      <c r="A5" s="2" t="s">
        <v>16</v>
      </c>
      <c r="B5" s="2" t="s">
        <v>17</v>
      </c>
      <c r="C5" s="2" t="s">
        <v>7</v>
      </c>
      <c r="D5" s="2">
        <v>32000</v>
      </c>
      <c r="E5" s="2" t="s">
        <v>18</v>
      </c>
      <c r="H5" t="s">
        <v>31</v>
      </c>
      <c r="I5">
        <f>COUNTA(E2:E9)</f>
        <v>5</v>
      </c>
    </row>
    <row r="6" spans="1:9">
      <c r="A6" s="2" t="s">
        <v>19</v>
      </c>
      <c r="B6" s="2"/>
      <c r="C6" s="2" t="s">
        <v>20</v>
      </c>
      <c r="D6" s="2">
        <v>45000</v>
      </c>
      <c r="E6" s="2"/>
      <c r="H6" t="s">
        <v>32</v>
      </c>
      <c r="I6">
        <f>COUNTA(C2:C9)</f>
        <v>8</v>
      </c>
    </row>
    <row r="7" spans="1:9">
      <c r="A7" s="2" t="s">
        <v>21</v>
      </c>
      <c r="B7" s="2" t="s">
        <v>22</v>
      </c>
      <c r="C7" s="2" t="s">
        <v>15</v>
      </c>
      <c r="D7" s="2"/>
      <c r="E7" s="2" t="s">
        <v>23</v>
      </c>
      <c r="H7" t="s">
        <v>33</v>
      </c>
      <c r="I7">
        <f>COUNTA(A2:E9)</f>
        <v>35</v>
      </c>
    </row>
    <row r="8" spans="1:9">
      <c r="A8" s="2" t="s">
        <v>24</v>
      </c>
      <c r="B8" s="2" t="s">
        <v>25</v>
      </c>
      <c r="C8" s="2" t="s">
        <v>11</v>
      </c>
      <c r="D8" s="2">
        <v>38000</v>
      </c>
      <c r="E8" s="2" t="s">
        <v>26</v>
      </c>
    </row>
    <row r="9" spans="1:9">
      <c r="A9" s="2" t="s">
        <v>27</v>
      </c>
      <c r="B9" s="2" t="s">
        <v>28</v>
      </c>
      <c r="C9" s="2" t="s">
        <v>20</v>
      </c>
      <c r="D9" s="2">
        <v>42000</v>
      </c>
      <c r="E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G12" sqref="G12"/>
    </sheetView>
  </sheetViews>
  <sheetFormatPr defaultRowHeight="15"/>
  <cols>
    <col min="1" max="1" width="11.5703125" bestFit="1" customWidth="1"/>
    <col min="2" max="2" width="15.140625" bestFit="1" customWidth="1"/>
    <col min="3" max="3" width="11.7109375" bestFit="1" customWidth="1"/>
    <col min="4" max="4" width="6.5703125" bestFit="1" customWidth="1"/>
    <col min="5" max="5" width="20.28515625" bestFit="1" customWidth="1"/>
    <col min="8" max="8" width="13.85546875" bestFit="1" customWidth="1"/>
  </cols>
  <sheetData>
    <row r="1" spans="1: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>
      <c r="A2" s="2" t="s">
        <v>5</v>
      </c>
      <c r="B2" s="2" t="s">
        <v>6</v>
      </c>
      <c r="C2" s="2" t="s">
        <v>7</v>
      </c>
      <c r="D2" s="2">
        <v>30000</v>
      </c>
      <c r="E2" s="2" t="s">
        <v>8</v>
      </c>
    </row>
    <row r="3" spans="1:9">
      <c r="A3" s="2" t="s">
        <v>9</v>
      </c>
      <c r="B3" s="2" t="s">
        <v>10</v>
      </c>
      <c r="C3" s="2" t="s">
        <v>11</v>
      </c>
      <c r="D3" s="2">
        <v>35000</v>
      </c>
      <c r="E3" s="2" t="s">
        <v>12</v>
      </c>
      <c r="H3" t="s">
        <v>34</v>
      </c>
      <c r="I3">
        <f>COUNTBLANK(B2:B9)</f>
        <v>1</v>
      </c>
    </row>
    <row r="4" spans="1:9">
      <c r="A4" s="2" t="s">
        <v>13</v>
      </c>
      <c r="B4" s="2" t="s">
        <v>14</v>
      </c>
      <c r="C4" s="2" t="s">
        <v>15</v>
      </c>
      <c r="D4" s="2">
        <v>40000</v>
      </c>
      <c r="E4" s="2"/>
      <c r="H4" t="s">
        <v>35</v>
      </c>
      <c r="I4">
        <f>COUNTBLANK(D2:D9)</f>
        <v>1</v>
      </c>
    </row>
    <row r="5" spans="1:9">
      <c r="A5" s="2" t="s">
        <v>16</v>
      </c>
      <c r="B5" s="2" t="s">
        <v>17</v>
      </c>
      <c r="C5" s="2" t="s">
        <v>7</v>
      </c>
      <c r="D5" s="2">
        <v>32000</v>
      </c>
      <c r="E5" s="2" t="s">
        <v>18</v>
      </c>
      <c r="H5" t="s">
        <v>36</v>
      </c>
      <c r="I5">
        <f>COUNTBLANK(E2:E9)</f>
        <v>3</v>
      </c>
    </row>
    <row r="6" spans="1:9">
      <c r="A6" s="2" t="s">
        <v>19</v>
      </c>
      <c r="B6" s="2"/>
      <c r="C6" s="2" t="s">
        <v>20</v>
      </c>
      <c r="D6" s="2">
        <v>45000</v>
      </c>
      <c r="E6" s="2"/>
    </row>
    <row r="7" spans="1:9">
      <c r="A7" s="2" t="s">
        <v>21</v>
      </c>
      <c r="B7" s="2" t="s">
        <v>22</v>
      </c>
      <c r="C7" s="2" t="s">
        <v>15</v>
      </c>
      <c r="D7" s="2"/>
      <c r="E7" s="2" t="s">
        <v>23</v>
      </c>
    </row>
    <row r="8" spans="1:9">
      <c r="A8" s="2" t="s">
        <v>24</v>
      </c>
      <c r="B8" s="2" t="s">
        <v>25</v>
      </c>
      <c r="C8" s="2" t="s">
        <v>11</v>
      </c>
      <c r="D8" s="2">
        <v>38000</v>
      </c>
      <c r="E8" s="2" t="s">
        <v>26</v>
      </c>
    </row>
    <row r="9" spans="1:9">
      <c r="A9" s="2" t="s">
        <v>27</v>
      </c>
      <c r="B9" s="2" t="s">
        <v>28</v>
      </c>
      <c r="C9" s="2" t="s">
        <v>20</v>
      </c>
      <c r="D9" s="2">
        <v>42000</v>
      </c>
      <c r="E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35C3-E204-4931-8696-6976590A3A0F}">
  <dimension ref="A1:H11"/>
  <sheetViews>
    <sheetView workbookViewId="0">
      <selection activeCell="H6" sqref="H6"/>
    </sheetView>
  </sheetViews>
  <sheetFormatPr defaultRowHeight="15"/>
  <cols>
    <col min="1" max="4" width="14.42578125" customWidth="1"/>
    <col min="7" max="7" width="18.42578125" bestFit="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37</v>
      </c>
    </row>
    <row r="2" spans="1:8">
      <c r="A2" s="4" t="s">
        <v>5</v>
      </c>
      <c r="B2" s="4" t="s">
        <v>6</v>
      </c>
      <c r="C2" s="4" t="s">
        <v>7</v>
      </c>
      <c r="D2" s="4">
        <v>45000</v>
      </c>
    </row>
    <row r="3" spans="1:8">
      <c r="A3" s="4" t="s">
        <v>9</v>
      </c>
      <c r="B3" s="4" t="s">
        <v>10</v>
      </c>
      <c r="C3" s="4" t="s">
        <v>7</v>
      </c>
      <c r="D3" s="4">
        <v>52000</v>
      </c>
    </row>
    <row r="4" spans="1:8">
      <c r="A4" s="4" t="s">
        <v>13</v>
      </c>
      <c r="B4" s="4" t="s">
        <v>14</v>
      </c>
      <c r="C4" s="4" t="s">
        <v>15</v>
      </c>
      <c r="D4" s="4">
        <v>38000</v>
      </c>
      <c r="G4" t="s">
        <v>38</v>
      </c>
      <c r="H4">
        <f>AVERAGE(D2:D11)</f>
        <v>49800</v>
      </c>
    </row>
    <row r="5" spans="1:8">
      <c r="A5" s="4" t="s">
        <v>16</v>
      </c>
      <c r="B5" s="4" t="s">
        <v>17</v>
      </c>
      <c r="C5" s="4" t="s">
        <v>7</v>
      </c>
      <c r="D5" s="4">
        <v>61000</v>
      </c>
      <c r="G5" t="s">
        <v>39</v>
      </c>
      <c r="H5">
        <f>AVERAGE(D2:D6)</f>
        <v>47600</v>
      </c>
    </row>
    <row r="6" spans="1:8">
      <c r="A6" s="4" t="s">
        <v>19</v>
      </c>
      <c r="B6" s="4" t="s">
        <v>22</v>
      </c>
      <c r="C6" s="4" t="s">
        <v>15</v>
      </c>
      <c r="D6" s="4">
        <v>42000</v>
      </c>
    </row>
    <row r="7" spans="1:8">
      <c r="A7" s="4" t="s">
        <v>21</v>
      </c>
      <c r="B7" s="4" t="s">
        <v>25</v>
      </c>
      <c r="C7" s="4" t="s">
        <v>7</v>
      </c>
      <c r="D7" s="4">
        <v>55000</v>
      </c>
    </row>
    <row r="8" spans="1:8">
      <c r="A8" s="4" t="s">
        <v>24</v>
      </c>
      <c r="B8" s="4" t="s">
        <v>28</v>
      </c>
      <c r="C8" s="4" t="s">
        <v>20</v>
      </c>
      <c r="D8" s="4">
        <v>48000</v>
      </c>
    </row>
    <row r="9" spans="1:8">
      <c r="A9" s="4" t="s">
        <v>27</v>
      </c>
      <c r="B9" s="4" t="s">
        <v>40</v>
      </c>
      <c r="C9" s="4" t="s">
        <v>7</v>
      </c>
      <c r="D9" s="4">
        <v>67000</v>
      </c>
    </row>
    <row r="10" spans="1:8">
      <c r="A10" s="4" t="s">
        <v>41</v>
      </c>
      <c r="B10" s="4" t="s">
        <v>42</v>
      </c>
      <c r="C10" s="4" t="s">
        <v>20</v>
      </c>
      <c r="D10" s="4">
        <v>40000</v>
      </c>
    </row>
    <row r="11" spans="1:8">
      <c r="A11" s="4" t="s">
        <v>43</v>
      </c>
      <c r="B11" s="4" t="s">
        <v>44</v>
      </c>
      <c r="C11" s="4" t="s">
        <v>7</v>
      </c>
      <c r="D11" s="4">
        <v>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5EFB-4F7E-43E0-BB51-0353CDF22339}">
  <dimension ref="A1:G9"/>
  <sheetViews>
    <sheetView workbookViewId="0">
      <selection activeCell="G9" sqref="G9"/>
    </sheetView>
  </sheetViews>
  <sheetFormatPr defaultRowHeight="15"/>
  <cols>
    <col min="1" max="3" width="16.140625" customWidth="1"/>
    <col min="6" max="6" width="31.42578125" bestFit="1" customWidth="1"/>
  </cols>
  <sheetData>
    <row r="1" spans="1:7">
      <c r="A1" t="s">
        <v>45</v>
      </c>
      <c r="B1" t="s">
        <v>46</v>
      </c>
      <c r="C1" t="s">
        <v>7</v>
      </c>
    </row>
    <row r="2" spans="1:7">
      <c r="A2" t="s">
        <v>6</v>
      </c>
      <c r="B2" t="s">
        <v>47</v>
      </c>
      <c r="C2">
        <v>12000</v>
      </c>
    </row>
    <row r="3" spans="1:7">
      <c r="A3" t="s">
        <v>10</v>
      </c>
      <c r="B3" t="s">
        <v>48</v>
      </c>
      <c r="C3">
        <v>15000</v>
      </c>
    </row>
    <row r="4" spans="1:7">
      <c r="A4" t="s">
        <v>14</v>
      </c>
      <c r="B4" t="s">
        <v>47</v>
      </c>
      <c r="C4">
        <v>18000</v>
      </c>
      <c r="F4" t="s">
        <v>49</v>
      </c>
      <c r="G4">
        <f>SUBTOTAL(9,C2:C9)</f>
        <v>116000</v>
      </c>
    </row>
    <row r="5" spans="1:7">
      <c r="A5" t="s">
        <v>17</v>
      </c>
      <c r="B5" t="s">
        <v>48</v>
      </c>
      <c r="C5">
        <v>10000</v>
      </c>
      <c r="F5" t="s">
        <v>50</v>
      </c>
      <c r="G5">
        <f>SUBTOTAL(1,C2:C9)</f>
        <v>14500</v>
      </c>
    </row>
    <row r="6" spans="1:7">
      <c r="A6" t="s">
        <v>6</v>
      </c>
      <c r="B6" t="s">
        <v>47</v>
      </c>
      <c r="C6">
        <v>20000</v>
      </c>
      <c r="F6" t="s">
        <v>51</v>
      </c>
      <c r="G6">
        <f>SUBTOTAL(2,C2:C9)</f>
        <v>8</v>
      </c>
    </row>
    <row r="7" spans="1:7">
      <c r="A7" t="s">
        <v>10</v>
      </c>
      <c r="B7" t="s">
        <v>48</v>
      </c>
      <c r="C7">
        <v>14000</v>
      </c>
      <c r="F7" t="s">
        <v>52</v>
      </c>
      <c r="G7">
        <f>SUBTOTAL(4,C2:C9)</f>
        <v>20000</v>
      </c>
    </row>
    <row r="8" spans="1:7">
      <c r="A8" t="s">
        <v>14</v>
      </c>
      <c r="B8" t="s">
        <v>47</v>
      </c>
      <c r="C8">
        <v>16000</v>
      </c>
      <c r="F8" t="s">
        <v>53</v>
      </c>
      <c r="G8">
        <f>SUBTOTAL(5,C2:C9)</f>
        <v>10000</v>
      </c>
    </row>
    <row r="9" spans="1:7">
      <c r="A9" t="s">
        <v>17</v>
      </c>
      <c r="B9" t="s">
        <v>48</v>
      </c>
      <c r="C9">
        <v>11000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45CE-990B-4CB8-A22F-349C58FA0061}">
  <dimension ref="A1:G7"/>
  <sheetViews>
    <sheetView tabSelected="1" workbookViewId="0">
      <selection activeCell="G8" sqref="G8"/>
    </sheetView>
  </sheetViews>
  <sheetFormatPr defaultRowHeight="15"/>
  <cols>
    <col min="1" max="3" width="12.42578125" customWidth="1"/>
    <col min="6" max="6" width="86" bestFit="1" customWidth="1"/>
  </cols>
  <sheetData>
    <row r="1" spans="1:7" ht="21.75" customHeight="1">
      <c r="A1" s="4" t="s">
        <v>54</v>
      </c>
      <c r="B1" s="4" t="s">
        <v>55</v>
      </c>
      <c r="C1" s="4" t="s">
        <v>56</v>
      </c>
    </row>
    <row r="2" spans="1:7">
      <c r="A2" s="3" t="s">
        <v>57</v>
      </c>
      <c r="B2" s="3">
        <v>2</v>
      </c>
      <c r="C2" s="3">
        <v>40000</v>
      </c>
    </row>
    <row r="3" spans="1:7">
      <c r="A3" s="3" t="s">
        <v>58</v>
      </c>
      <c r="B3" s="3">
        <v>5</v>
      </c>
      <c r="C3" s="3">
        <v>500</v>
      </c>
      <c r="F3" t="s">
        <v>59</v>
      </c>
      <c r="G3">
        <f>SUMPRODUCT(B2:B6,C2:C6)</f>
        <v>112100</v>
      </c>
    </row>
    <row r="4" spans="1:7">
      <c r="A4" s="3" t="s">
        <v>60</v>
      </c>
      <c r="B4" s="3">
        <v>3</v>
      </c>
      <c r="C4" s="3">
        <v>1200</v>
      </c>
      <c r="F4" t="s">
        <v>61</v>
      </c>
      <c r="G4">
        <f>SUMPRODUCT(B2:B3,C2:C3)</f>
        <v>82500</v>
      </c>
    </row>
    <row r="5" spans="1:7">
      <c r="A5" s="3" t="s">
        <v>62</v>
      </c>
      <c r="B5" s="3">
        <v>2</v>
      </c>
      <c r="C5" s="3">
        <v>10000</v>
      </c>
      <c r="F5" t="s">
        <v>63</v>
      </c>
      <c r="G5">
        <f>SUMPRODUCT(B4:B5,C4:C5)</f>
        <v>23600</v>
      </c>
    </row>
    <row r="6" spans="1:7">
      <c r="A6" s="3" t="s">
        <v>64</v>
      </c>
      <c r="B6" s="3">
        <v>4</v>
      </c>
      <c r="C6" s="3">
        <v>1500</v>
      </c>
      <c r="F6" t="s">
        <v>65</v>
      </c>
      <c r="G6">
        <f>SUMPRODUCT(B2:B6,C2:C6)</f>
        <v>112100</v>
      </c>
    </row>
    <row r="7" spans="1:7">
      <c r="F7" t="s">
        <v>66</v>
      </c>
      <c r="G7">
        <f>SUMPRODUCT(B3:B6,C3:C6)</f>
        <v>32100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2026-10-19T18:04:15Z</dcterms:created>
  <dcterms:modified xsi:type="dcterms:W3CDTF">2026-10-19T18:54:52Z</dcterms:modified>
  <cp:category/>
  <cp:contentStatus/>
</cp:coreProperties>
</file>